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bsite Research" sheetId="1" state="visible" r:id="rId3"/>
    <sheet name="Submission Tracker" sheetId="2" state="visible" r:id="rId4"/>
    <sheet name="Link Verification" sheetId="3" state="visible" r:id="rId5"/>
    <sheet name="Summary" sheetId="4" state="visible" r:id="rId6"/>
  </sheets>
  <definedNames>
    <definedName function="false" hidden="true" localSheetId="2" name="_xlnm._FilterDatabase" vbProcedure="false">'Link Verification'!$A$5:$L$30</definedName>
    <definedName function="false" hidden="true" localSheetId="1" name="_xlnm._FilterDatabase" vbProcedure="false">'Submission Tracker'!$A$5:$M$30</definedName>
    <definedName function="false" hidden="true" localSheetId="0" name="_xlnm._FilterDatabase" vbProcedure="false">'Website Research'!$A$5:$Y$30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<sst xmlns="http://schemas.openxmlformats.org/spreadsheetml/2006/main" count="713" uniqueCount="425">
  <si>
    <t xml:space="preserve">TechAbout Do-Follow Links - Website Research (Batch 1 of 4: 25 of 100 candidates)</t>
  </si>
  <si>
    <t xml:space="preserve">Evidence tiers: A = platform's own page retrieved on 2026-10-26 | B = reputable third-party source only | C = not verified in this session. No link is classed do-follow here: link attributes can only be confirmed by inspecting the live published page (see 'Link Verification').</t>
  </si>
  <si>
    <t xml:space="preserve">Weights: relevance 30%, legitimacy 25%, free availability 20%, approval likelihood 15%, link permission 10% (judgement scores 1-5 by the researcher; see Evidence note).</t>
  </si>
  <si>
    <t xml:space="preserve">Score weights (editable) -&gt;</t>
  </si>
  <si>
    <t xml:space="preserve">Rank</t>
  </si>
  <si>
    <t xml:space="preserve">ID</t>
  </si>
  <si>
    <t xml:space="preserve">Website</t>
  </si>
  <si>
    <t xml:space="preserve">Official URL</t>
  </si>
  <si>
    <t xml:space="preserve">Exact submission URL / route</t>
  </si>
  <si>
    <t xml:space="preserve">Category</t>
  </si>
  <si>
    <t xml:space="preserve">Relevance to TechAbout</t>
  </si>
  <si>
    <t xml:space="preserve">Free submission status</t>
  </si>
  <si>
    <t xml:space="preserve">Evidence tier</t>
  </si>
  <si>
    <t xml:space="preserve">Free-submission evidence URL</t>
  </si>
  <si>
    <t xml:space="preserve">Evidence note</t>
  </si>
  <si>
    <t xml:space="preserve">Submission type</t>
  </si>
  <si>
    <t xml:space="preserve">External company link permitted?</t>
  </si>
  <si>
    <t xml:space="preserve">Link attribute documented by platform?</t>
  </si>
  <si>
    <t xml:space="preserve">Approval / registration requirements</t>
  </si>
  <si>
    <t xml:space="preserve">Relevance (1-5)</t>
  </si>
  <si>
    <t xml:space="preserve">Legitimacy (1-5)</t>
  </si>
  <si>
    <t xml:space="preserve">Free availability (1-5)</t>
  </si>
  <si>
    <t xml:space="preserve">Approval likelihood (1-5)</t>
  </si>
  <si>
    <t xml:space="preserve">Link permission (1-5)</t>
  </si>
  <si>
    <t xml:space="preserve">Weighted score</t>
  </si>
  <si>
    <t xml:space="preserve">Verification date</t>
  </si>
  <si>
    <t xml:space="preserve">Suitability decision</t>
  </si>
  <si>
    <t xml:space="preserve">Reason / risks</t>
  </si>
  <si>
    <t xml:space="preserve">Content file prepared</t>
  </si>
  <si>
    <t xml:space="preserve">WS-01</t>
  </si>
  <si>
    <t xml:space="preserve">Clutch</t>
  </si>
  <si>
    <t xml:space="preserve">https://clutch.co/</t>
  </si>
  <si>
    <t xml:space="preserve">https://clutch.co/get-listed</t>
  </si>
  <si>
    <t xml:space="preserve">B2B service-provider directory</t>
  </si>
  <si>
    <t xml:space="preserve">High - lists software, AI, cloud and app developers</t>
  </si>
  <si>
    <t xml:space="preserve">Yes - official</t>
  </si>
  <si>
    <t xml:space="preserve">A</t>
  </si>
  <si>
    <t xml:space="preserve">https://help.clutch.co/en/knowledge/free-features-clutch-offers</t>
  </si>
  <si>
    <t xml:space="preserve">Help Centre lists a free company profile (about 20 min) and says submitted profiles go to Clutch staff for review. Optional paid tiers exist - do NOT select them. A second help page (get-listed-on-clutch) lists 'Website URL' as a profile field.</t>
  </si>
  <si>
    <t xml:space="preserve">Company profile</t>
  </si>
  <si>
    <t xml:space="preserve">Yes - website URL is a profile field (official help page)</t>
  </si>
  <si>
    <t xml:space="preserve">No - rel attribute not documented; inspect after publishing</t>
  </si>
  <si>
    <t xml:space="preserve">Sign in with LinkedIn, Google or company email; staff review before publishing; reviews must come from real clients</t>
  </si>
  <si>
    <t xml:space="preserve">2026-10-26</t>
  </si>
  <si>
    <t xml:space="preserve">Proceed - priority 1</t>
  </si>
  <si>
    <t xml:space="preserve">Never submit invented client references. Selecting Basic/free offering only. Link attribute unknown.</t>
  </si>
  <si>
    <t xml:space="preserve">01_clutch_profile.md</t>
  </si>
  <si>
    <t xml:space="preserve">WS-02</t>
  </si>
  <si>
    <t xml:space="preserve">TechBehemoths</t>
  </si>
  <si>
    <t xml:space="preserve">https://techbehemoths.com/</t>
  </si>
  <si>
    <t xml:space="preserve">Use the 'add/list your company' button on the homepage (exact form URL not captured - confirm on site)</t>
  </si>
  <si>
    <t xml:space="preserve">IT company directory</t>
  </si>
  <si>
    <t xml:space="preserve">High - IT services, software development, AI, cloud</t>
  </si>
  <si>
    <t xml:space="preserve">Homepage states the platform is 100% free. A TechBehemoths 2.0 press release (webdisclosure.com) says profiles are free, verification is free and one-time, and paid CORE/PRO tiers only add visibility.</t>
  </si>
  <si>
    <t xml:space="preserve">Expected (company profile) - confirm in form</t>
  </si>
  <si>
    <t xml:space="preserve">No - inspect after publishing</t>
  </si>
  <si>
    <t xml:space="preserve">Account + company details; free verification (blue badge)</t>
  </si>
  <si>
    <t xml:space="preserve">Do not pick CORE/PRO. Exact submission URL still to be captured.</t>
  </si>
  <si>
    <t xml:space="preserve">03_techbehemoths_profile.md</t>
  </si>
  <si>
    <t xml:space="preserve">WS-03</t>
  </si>
  <si>
    <t xml:space="preserve">LinkedIn Company Page</t>
  </si>
  <si>
    <t xml:space="preserve">https://www.linkedin.com/company/techabout/</t>
  </si>
  <si>
    <t xml:space="preserve">https://www.linkedin.com/company/techabout/ (page already linked from techabout.com; admin must edit)</t>
  </si>
  <si>
    <t xml:space="preserve">Professional network</t>
  </si>
  <si>
    <t xml:space="preserve">High - company brand and B2B discovery</t>
  </si>
  <si>
    <t xml:space="preserve">Yes - official (page already exists)</t>
  </si>
  <si>
    <t xml:space="preserve">https://www.techabout.com/</t>
  </si>
  <si>
    <t xml:space="preserve">techabout.com footer links to this page, so it exists; editing a page is free for admins.</t>
  </si>
  <si>
    <t xml:space="preserve">Company page update</t>
  </si>
  <si>
    <t xml:space="preserve">Yes - website field</t>
  </si>
  <si>
    <t xml:space="preserve">No - links on LinkedIn are commonly reported as qualified; inspect</t>
  </si>
  <si>
    <t xml:space="preserve">Admin access to the page</t>
  </si>
  <si>
    <t xml:space="preserve">Proceed - update About/website fields</t>
  </si>
  <si>
    <t xml:space="preserve">Not a reliable do-follow source; value is brand and referral.</t>
  </si>
  <si>
    <t xml:space="preserve">10_linkedin_github_text.md</t>
  </si>
  <si>
    <t xml:space="preserve">WS-04</t>
  </si>
  <si>
    <t xml:space="preserve">GoodFirms</t>
  </si>
  <si>
    <t xml:space="preserve">https://www.goodfirms.co/</t>
  </si>
  <si>
    <t xml:space="preserve">Use the 'Get Listed' button in the site header (exact form URL not captured - confirm on site)</t>
  </si>
  <si>
    <t xml:space="preserve">B2B IT and software directory</t>
  </si>
  <si>
    <t xml:space="preserve">High - software development companies and IT services</t>
  </si>
  <si>
    <t xml:space="preserve">Partial - official hint + third party</t>
  </si>
  <si>
    <t xml:space="preserve">B</t>
  </si>
  <si>
    <t xml:space="preserve">https://www.goodfirms.co/directory/languages/top-software-development-companies?cid=46316</t>
  </si>
  <si>
    <t xml:space="preserve">Official directory page shows 'Get Listed' and states that PRO members get badges/ad placements but scores are calculated identically to free listings (implies free listings exist). Third-party gracker.ai says standard listings are free.</t>
  </si>
  <si>
    <t xml:space="preserve">Account, company details, verification by GoodFirms research team</t>
  </si>
  <si>
    <t xml:space="preserve">Proceed - priority 2</t>
  </si>
  <si>
    <t xml:space="preserve">Free-tier terms must be confirmed on the actual sign-up page before entering details. Do not choose PRO.</t>
  </si>
  <si>
    <t xml:space="preserve">02_goodfirms_profile.md</t>
  </si>
  <si>
    <t xml:space="preserve">WS-05</t>
  </si>
  <si>
    <t xml:space="preserve">DZone</t>
  </si>
  <si>
    <t xml:space="preserve">https://dzone.com/</t>
  </si>
  <si>
    <t xml:space="preserve">https://dzone.com/pages/contribute</t>
  </si>
  <si>
    <t xml:space="preserve">Developer publication</t>
  </si>
  <si>
    <t xml:space="preserve">High - software development, AI, cloud and DevOps readers</t>
  </si>
  <si>
    <t xml:space="preserve">Contribute page says contributing is easy and free; articles go through moderation and editing (submission guidelines page). Guidelines separate editorial articles from paid advertising.</t>
  </si>
  <si>
    <t xml:space="preserve">Original technical article</t>
  </si>
  <si>
    <t xml:space="preserve">Editorial - links only where they help the reader (bio/reference links)</t>
  </si>
  <si>
    <t xml:space="preserve">Free DZone account; moderation; editors may edit the article; must be original</t>
  </si>
  <si>
    <t xml:space="preserve">Proceed - priority 2 (article, not an ad)</t>
  </si>
  <si>
    <t xml:space="preserve">Promotional copy will be rejected. Company link may be limited to author bio. Author must be a real person.</t>
  </si>
  <si>
    <t xml:space="preserve">06_dzone_article.md</t>
  </si>
  <si>
    <t xml:space="preserve">WS-06</t>
  </si>
  <si>
    <t xml:space="preserve">GitHub (TechAbout organisation)</t>
  </si>
  <si>
    <t xml:space="preserve">https://github.com/techabout/</t>
  </si>
  <si>
    <t xml:space="preserve">https://github.com/techabout/ (page already linked from techabout.com; org owner edits profile)</t>
  </si>
  <si>
    <t xml:space="preserve">Developer platform</t>
  </si>
  <si>
    <t xml:space="preserve">Medium - engineering credibility</t>
  </si>
  <si>
    <t xml:space="preserve">Yes - official (profile already exists)</t>
  </si>
  <si>
    <t xml:space="preserve">techabout.com footer links to this profile.</t>
  </si>
  <si>
    <t xml:space="preserve">Organisation profile / README</t>
  </si>
  <si>
    <t xml:space="preserve">Org owner access</t>
  </si>
  <si>
    <t xml:space="preserve">Proceed - complete website field and profile README</t>
  </si>
  <si>
    <t xml:space="preserve">Likely qualified link; value is credibility.</t>
  </si>
  <si>
    <t xml:space="preserve">WS-07</t>
  </si>
  <si>
    <t xml:space="preserve">Hashnode</t>
  </si>
  <si>
    <t xml:space="preserve">https://hashnode.com/</t>
  </si>
  <si>
    <t xml:space="preserve">https://hashnode.com/ (sign up, then 'Create my blog')</t>
  </si>
  <si>
    <t xml:space="preserve">Developer blogging platform</t>
  </si>
  <si>
    <t xml:space="preserve">High - developer and engineering audience</t>
  </si>
  <si>
    <t xml:space="preserve">Yes - official (with limits)</t>
  </si>
  <si>
    <t xml:space="preserve">https://hashnode.com/alternatives/medium</t>
  </si>
  <si>
    <t xml:space="preserve">Hashnode says it is free to start; custom domain is a Pro feature ($5/mo). Third-party poster.ly reports that since June 2026 the free plan is limited to one hashnode.dev subdomain publication. Use the free subdomain only.</t>
  </si>
  <si>
    <t xml:space="preserve">Self-published article</t>
  </si>
  <si>
    <t xml:space="preserve">Yes - self-published</t>
  </si>
  <si>
    <t xml:space="preserve">Account only; no editorial approval</t>
  </si>
  <si>
    <t xml:space="preserve">Proceed - easy win</t>
  </si>
  <si>
    <t xml:space="preserve">Subdomain authority is separate from hashnode.com; value comes from readership as much as link.</t>
  </si>
  <si>
    <t xml:space="preserve">08_hashnode_article.md</t>
  </si>
  <si>
    <t xml:space="preserve">WS-08</t>
  </si>
  <si>
    <t xml:space="preserve">HackerNoon</t>
  </si>
  <si>
    <t xml:space="preserve">https://hackernoon.com/</t>
  </si>
  <si>
    <t xml:space="preserve">https://hackernoon.com/p/publish</t>
  </si>
  <si>
    <t xml:space="preserve">Tech publication</t>
  </si>
  <si>
    <t xml:space="preserve">High - technology, AI, startups, developers</t>
  </si>
  <si>
    <t xml:space="preserve">Partial - free for individuals; brand posts are paid</t>
  </si>
  <si>
    <t xml:space="preserve">https://hackernoon.com/how-to-contribute-a-story-to-hacker-noon-1536c2587063</t>
  </si>
  <si>
    <t xml:space="preserve">Official contribution page says individuals publish free and brands pay to publish (Brand-as-Author). Submission checklist requires disclosing vested interests and takes about 3 business days to review.</t>
  </si>
  <si>
    <t xml:space="preserve">Tech story</t>
  </si>
  <si>
    <t xml:space="preserve">Yes - natural hyperlinks encouraged in brand guidelines</t>
  </si>
  <si>
    <t xml:space="preserve">Account; human author; disclose company interest; editorial review</t>
  </si>
  <si>
    <t xml:space="preserve">Proceed only as a genuinely educational story by a named human author with disclosure</t>
  </si>
  <si>
    <t xml:space="preserve">If editors treat it as brand content it will require payment - STOP at any payment screen.</t>
  </si>
  <si>
    <t xml:space="preserve">07_hackernoon_story.md</t>
  </si>
  <si>
    <t xml:space="preserve">WS-09</t>
  </si>
  <si>
    <t xml:space="preserve">DesignRush</t>
  </si>
  <si>
    <t xml:space="preserve">https://www.designrush.com/</t>
  </si>
  <si>
    <t xml:space="preserve">https://www.designrush.com/add-listing</t>
  </si>
  <si>
    <t xml:space="preserve">Agency directory and B2B media</t>
  </si>
  <si>
    <t xml:space="preserve">Medium-high - lists software and app development agencies</t>
  </si>
  <si>
    <t xml:space="preserve">https://www.designrush.com/contact-us</t>
  </si>
  <si>
    <t xml:space="preserve">Official help page refers to a 'FREE' listing plan and notes that all other plans add a dedicated relationship manager. The add-listing page says submissions are reviewed on website, portfolio and online reputation. Third party (ampifire.com) says premium plans start at $200/month - do not buy.</t>
  </si>
  <si>
    <t xml:space="preserve">Agency profile</t>
  </si>
  <si>
    <t xml:space="preserve">Yes - website URL is a standard field (third-party description)</t>
  </si>
  <si>
    <t xml:space="preserve">Partly - help page says links in editorial content are added at DesignRush's discretion; profile link attribute not documented</t>
  </si>
  <si>
    <t xml:space="preserve">Account; editorial review before publishing</t>
  </si>
  <si>
    <t xml:space="preserve">Strong upsell pressure. Review may reject. Agency-style categories may fit imperfectly.</t>
  </si>
  <si>
    <t xml:space="preserve">04_designrush_profile.md</t>
  </si>
  <si>
    <t xml:space="preserve">WS-10</t>
  </si>
  <si>
    <t xml:space="preserve">The Manifest</t>
  </si>
  <si>
    <t xml:space="preserve">https://themanifest.com/</t>
  </si>
  <si>
    <t xml:space="preserve">No separate form confirmed - profile is created through the Clutch listing (sister site)</t>
  </si>
  <si>
    <t xml:space="preserve">B2B directory (Clutch sister site)</t>
  </si>
  <si>
    <t xml:space="preserve">Medium-high - IT and software services</t>
  </si>
  <si>
    <t xml:space="preserve">Clutch's free-features page lists inclusion on The Manifest as a free benefit.</t>
  </si>
  <si>
    <t xml:space="preserve">Company profile (via Clutch)</t>
  </si>
  <si>
    <t xml:space="preserve">Unconfirmed</t>
  </si>
  <si>
    <t xml:space="preserve">Depends on an approved Clutch profile</t>
  </si>
  <si>
    <t xml:space="preserve">Wait for Clutch approval, then check</t>
  </si>
  <si>
    <t xml:space="preserve">Not independent of Clutch; may not appear if Clutch profile is not approved.</t>
  </si>
  <si>
    <t xml:space="preserve">(covered by 01_clutch_profile.md)</t>
  </si>
  <si>
    <t xml:space="preserve">WS-11</t>
  </si>
  <si>
    <t xml:space="preserve">Crunchbase</t>
  </si>
  <si>
    <t xml:space="preserve">https://www.crunchbase.com/</t>
  </si>
  <si>
    <t xml:space="preserve">Search for TechAbout, then claim or add the organisation (exact URL to be captured)</t>
  </si>
  <si>
    <t xml:space="preserve">Company database</t>
  </si>
  <si>
    <t xml:space="preserve">Medium - company profile</t>
  </si>
  <si>
    <t xml:space="preserve">Reported only</t>
  </si>
  <si>
    <t xml:space="preserve">https://www.w3era.com/blog/seo/it-software-business-listing-sites/</t>
  </si>
  <si>
    <t xml:space="preserve">Third-party list reports a free profile contribution. Not verified on Crunchbase itself.</t>
  </si>
  <si>
    <t xml:space="preserve">Account; edits may be reviewed</t>
  </si>
  <si>
    <t xml:space="preserve">Proceed after confirming free edit rights</t>
  </si>
  <si>
    <t xml:space="preserve">Paid tiers push hard. Link likely qualified.</t>
  </si>
  <si>
    <t xml:space="preserve">Not prepared (batch 2)</t>
  </si>
  <si>
    <t xml:space="preserve">WS-12</t>
  </si>
  <si>
    <t xml:space="preserve">Compare the Cloud (Directory)</t>
  </si>
  <si>
    <t xml:space="preserve">https://comparethecloud.net/</t>
  </si>
  <si>
    <t xml:space="preserve">https://comparethecloud.net/directory/submit</t>
  </si>
  <si>
    <t xml:space="preserve">Cloud / IT services directory</t>
  </si>
  <si>
    <t xml:space="preserve">Medium-high - cloud, DevOps and IT service providers</t>
  </si>
  <si>
    <t xml:space="preserve">Submit page says basic listings are completely free; promoted listings and verification badges are paid. Review takes 2-3 business days; email verification required; B2B technology services only.</t>
  </si>
  <si>
    <t xml:space="preserve">Directory listing</t>
  </si>
  <si>
    <t xml:space="preserve">Expected - confirm in form</t>
  </si>
  <si>
    <t xml:space="preserve">Email verification; B2B tech services only; review 2-3 business days</t>
  </si>
  <si>
    <t xml:space="preserve">Proceed - priority 3</t>
  </si>
  <si>
    <t xml:space="preserve">Smaller site; check it is indexed and not link-farm-like before investing time.</t>
  </si>
  <si>
    <t xml:space="preserve">05_comparethecloud_listing.md</t>
  </si>
  <si>
    <t xml:space="preserve">WS-13</t>
  </si>
  <si>
    <t xml:space="preserve">DEV Community (dev.to)</t>
  </si>
  <si>
    <t xml:space="preserve">https://dev.to/</t>
  </si>
  <si>
    <t xml:space="preserve">https://dev.to/new</t>
  </si>
  <si>
    <t xml:space="preserve">Developer community</t>
  </si>
  <si>
    <t xml:space="preserve">High - developers and engineers</t>
  </si>
  <si>
    <t xml:space="preserve">Unverified in this session</t>
  </si>
  <si>
    <t xml:space="preserve">C</t>
  </si>
  <si>
    <t xml:space="preserve">(not retrieved - check https://dev.to/terms and https://dev.to/code-of-conduct)</t>
  </si>
  <si>
    <t xml:space="preserve">Generally free to publish; not verified in this session. Read community rules on promotional posts before publishing.</t>
  </si>
  <si>
    <t xml:space="preserve">Yes</t>
  </si>
  <si>
    <t xml:space="preserve">Account; community rules</t>
  </si>
  <si>
    <t xml:space="preserve">Proceed after reading current terms</t>
  </si>
  <si>
    <t xml:space="preserve">Promotional posts may be moderated. Link attribute unknown.</t>
  </si>
  <si>
    <t xml:space="preserve">09_dev_article.md</t>
  </si>
  <si>
    <t xml:space="preserve">WS-14</t>
  </si>
  <si>
    <t xml:space="preserve">Wellfound</t>
  </si>
  <si>
    <t xml:space="preserve">https://wellfound.com/</t>
  </si>
  <si>
    <t xml:space="preserve">https://wellfound.com/onboarding/recruit</t>
  </si>
  <si>
    <t xml:space="preserve">Startup/tech company platform</t>
  </si>
  <si>
    <t xml:space="preserve">Medium - hiring and company profile</t>
  </si>
  <si>
    <t xml:space="preserve">Yes - official help page (company setup)</t>
  </si>
  <si>
    <t xml:space="preserve">https://help.wellfound.com/article/720-how-can-i-create-a-new-company-or-access-an-existing-one</t>
  </si>
  <si>
    <t xml:space="preserve">Help article gives the steps to create or claim a company profile; third-party sources report free recruiting tools.</t>
  </si>
  <si>
    <t xml:space="preserve">Personal login first, then company creation; profile may already exist and need claiming</t>
  </si>
  <si>
    <t xml:space="preserve">Proceed - lower priority</t>
  </si>
  <si>
    <t xml:space="preserve">Hiring focus; profile may be community-generated and need claiming.</t>
  </si>
  <si>
    <t xml:space="preserve">WS-15</t>
  </si>
  <si>
    <t xml:space="preserve">Medium</t>
  </si>
  <si>
    <t xml:space="preserve">https://medium.com/</t>
  </si>
  <si>
    <t xml:space="preserve">Write a story from a logged-in account (exact URL to be captured)</t>
  </si>
  <si>
    <t xml:space="preserve">General publishing platform</t>
  </si>
  <si>
    <t xml:space="preserve">Medium - technology articles</t>
  </si>
  <si>
    <t xml:space="preserve">(not retrieved)</t>
  </si>
  <si>
    <t xml:space="preserve">Not verified in this session. Use for republishing articles with a canonical link to the original.</t>
  </si>
  <si>
    <t xml:space="preserve">No - links commonly reported as qualified; inspect</t>
  </si>
  <si>
    <t xml:space="preserve">Account</t>
  </si>
  <si>
    <t xml:space="preserve">Optional - republish after the original is live</t>
  </si>
  <si>
    <t xml:space="preserve">Duplicate-content risk if canonical is not set; likely qualified links.</t>
  </si>
  <si>
    <t xml:space="preserve">WS-16</t>
  </si>
  <si>
    <t xml:space="preserve">Bing Places for Business</t>
  </si>
  <si>
    <t xml:space="preserve">https://www.bingplaces.com/</t>
  </si>
  <si>
    <t xml:space="preserve">https://www.bingplaces.com/ (add or claim the business)</t>
  </si>
  <si>
    <t xml:space="preserve">Local business listing</t>
  </si>
  <si>
    <t xml:space="preserve">Medium - Lahore, Sheridan and Dubai offices</t>
  </si>
  <si>
    <t xml:space="preserve">Third-party list reports free listing.</t>
  </si>
  <si>
    <t xml:space="preserve">No - inspect</t>
  </si>
  <si>
    <t xml:space="preserve">Business verification (postcard/phone/email)</t>
  </si>
  <si>
    <t xml:space="preserve">Proceed - citation value</t>
  </si>
  <si>
    <t xml:space="preserve">Local citation; not a do-follow target.</t>
  </si>
  <si>
    <t xml:space="preserve">WS-17</t>
  </si>
  <si>
    <t xml:space="preserve">Product Hunt</t>
  </si>
  <si>
    <t xml:space="preserve">https://www.producthunt.com/</t>
  </si>
  <si>
    <t xml:space="preserve">Create a post from a logged-in account (exact URL to be captured)</t>
  </si>
  <si>
    <t xml:space="preserve">Product launch community</t>
  </si>
  <si>
    <t xml:space="preserve">Medium - aiTransform.com launch</t>
  </si>
  <si>
    <t xml:space="preserve">https://createandgrow.com/free-resources/</t>
  </si>
  <si>
    <t xml:space="preserve">Third-party list describes free account-based submission.</t>
  </si>
  <si>
    <t xml:space="preserve">Product launch post</t>
  </si>
  <si>
    <t xml:space="preserve">Account; community rules; one launch per product</t>
  </si>
  <si>
    <t xml:space="preserve">Optional - only if a genuine launch is planned</t>
  </si>
  <si>
    <t xml:space="preserve">Launch norms apply. Not a do-follow source.</t>
  </si>
  <si>
    <t xml:space="preserve">WS-18</t>
  </si>
  <si>
    <t xml:space="preserve">Sortlist</t>
  </si>
  <si>
    <t xml:space="preserve">https://www.sortlist.com/</t>
  </si>
  <si>
    <t xml:space="preserve">https://www.sortlist.com/how-it-works/agency</t>
  </si>
  <si>
    <t xml:space="preserve">Agency marketplace</t>
  </si>
  <si>
    <t xml:space="preserve">Medium - marketing/digital agency focus; app development category exists</t>
  </si>
  <si>
    <t xml:space="preserve">Official agency page says registration and listing are free, with paid visibility add-ons available.</t>
  </si>
  <si>
    <t xml:space="preserve">Expected - confirm in profile</t>
  </si>
  <si>
    <t xml:space="preserve">Apply as agency; listing conditions apply (see Sortlist help centre)</t>
  </si>
  <si>
    <t xml:space="preserve">Proceed - lower priority; confirm listing conditions first</t>
  </si>
  <si>
    <t xml:space="preserve">Marketing-agency focus; TechAbout may not meet listing conditions.</t>
  </si>
  <si>
    <t xml:space="preserve">WS-19</t>
  </si>
  <si>
    <t xml:space="preserve">SaaSHub</t>
  </si>
  <si>
    <t xml:space="preserve">https://www.saashub.com/</t>
  </si>
  <si>
    <t xml:space="preserve">Use the site's 'Submit' / add-product flow (exact URL to be captured)</t>
  </si>
  <si>
    <t xml:space="preserve">Software directory</t>
  </si>
  <si>
    <t xml:space="preserve">Medium - for aiTransform.com and AccountStop.com products</t>
  </si>
  <si>
    <t xml:space="preserve">https://ideaproof.io/launch-directories/saashub</t>
  </si>
  <si>
    <t xml:space="preserve">Third parties say free submission with optional paid promotion. CONFLICT on links: cometly.com says a verified listing includes a backlink; ideaproof.io says outbound links are nofollow.</t>
  </si>
  <si>
    <t xml:space="preserve">Product listing</t>
  </si>
  <si>
    <t xml:space="preserve">Yes - website link on product page</t>
  </si>
  <si>
    <t xml:space="preserve">No - conflicting third-party reports; inspect</t>
  </si>
  <si>
    <t xml:space="preserve">Account; product details</t>
  </si>
  <si>
    <t xml:space="preserve">Proceed for product pages only (not for the agency)</t>
  </si>
  <si>
    <t xml:space="preserve">Product listing must reflect a real, live product. Do not pay the optional fee.</t>
  </si>
  <si>
    <t xml:space="preserve">WS-20</t>
  </si>
  <si>
    <t xml:space="preserve">AlternativeTo</t>
  </si>
  <si>
    <t xml:space="preserve">https://alternativeto.net/</t>
  </si>
  <si>
    <t xml:space="preserve">Use 'Add application' on the site (exact URL to be captured)</t>
  </si>
  <si>
    <t xml:space="preserve">Software alternatives directory</t>
  </si>
  <si>
    <t xml:space="preserve">Medium - aiTransform.com</t>
  </si>
  <si>
    <t xml:space="preserve">Yes - website link</t>
  </si>
  <si>
    <t xml:space="preserve">Account; moderation</t>
  </si>
  <si>
    <t xml:space="preserve">Proceed for product pages</t>
  </si>
  <si>
    <t xml:space="preserve">Product must be a real alternative to a known app.</t>
  </si>
  <si>
    <t xml:space="preserve">WS-21</t>
  </si>
  <si>
    <t xml:space="preserve">Google Business Profile</t>
  </si>
  <si>
    <t xml:space="preserve">https://www.google.com/business/</t>
  </si>
  <si>
    <t xml:space="preserve">https://www.google.com/business/ (claim or update existing profile)</t>
  </si>
  <si>
    <t xml:space="preserve">Medium - local citation; techabout.com already shows a Google reviews link</t>
  </si>
  <si>
    <t xml:space="preserve">techabout.com shows a Google reviews link, so a profile likely exists - claim/verify ownership.</t>
  </si>
  <si>
    <t xml:space="preserve">Not applicable</t>
  </si>
  <si>
    <t xml:space="preserve">Ownership verification</t>
  </si>
  <si>
    <t xml:space="preserve">Proceed - citation value only</t>
  </si>
  <si>
    <t xml:space="preserve">Not a backlink-count item.</t>
  </si>
  <si>
    <t xml:space="preserve">WS-22</t>
  </si>
  <si>
    <t xml:space="preserve">SourceForge (business listing)</t>
  </si>
  <si>
    <t xml:space="preserve">https://sourceforge.net/</t>
  </si>
  <si>
    <t xml:space="preserve">Vendor/business listing flow (exact URL to be captured)</t>
  </si>
  <si>
    <t xml:space="preserve">Medium - software products and services</t>
  </si>
  <si>
    <t xml:space="preserve">Not verified in this session.</t>
  </si>
  <si>
    <t xml:space="preserve">Product / business listing</t>
  </si>
  <si>
    <t xml:space="preserve">Expected</t>
  </si>
  <si>
    <t xml:space="preserve">Verify free tier first</t>
  </si>
  <si>
    <t xml:space="preserve">Free tier terms unknown.</t>
  </si>
  <si>
    <t xml:space="preserve">WS-23</t>
  </si>
  <si>
    <t xml:space="preserve">F6S</t>
  </si>
  <si>
    <t xml:space="preserve">https://www.f6s.com/</t>
  </si>
  <si>
    <t xml:space="preserve">Create a company profile after sign-up (exact URL to be captured)</t>
  </si>
  <si>
    <t xml:space="preserve">Startup community</t>
  </si>
  <si>
    <t xml:space="preserve">Low-medium - startup network</t>
  </si>
  <si>
    <t xml:space="preserve">https://www.rfp.wiki/market-competitive-intelligence-platforms/crunchbase/f6s</t>
  </si>
  <si>
    <t xml:space="preserve">Third-party sources say core founder/startup access is free.</t>
  </si>
  <si>
    <t xml:space="preserve">Optional</t>
  </si>
  <si>
    <t xml:space="preserve">Startup framing may not fit an established company.</t>
  </si>
  <si>
    <t xml:space="preserve">WS-24</t>
  </si>
  <si>
    <t xml:space="preserve">TopDevelopers.co</t>
  </si>
  <si>
    <t xml:space="preserve">https://www.topdevelopers.co/</t>
  </si>
  <si>
    <t xml:space="preserve">Use the site's company-listing form (exact URL to be captured)</t>
  </si>
  <si>
    <t xml:space="preserve">IT service directory</t>
  </si>
  <si>
    <t xml:space="preserve">Medium-high - development companies</t>
  </si>
  <si>
    <t xml:space="preserve">Third-party list reports free or paid options.</t>
  </si>
  <si>
    <t xml:space="preserve">Unknown</t>
  </si>
  <si>
    <t xml:space="preserve">HOLD - vet site quality before using</t>
  </si>
  <si>
    <t xml:space="preserve">Quality/legitimacy not yet checked; may be pay-to-rank.</t>
  </si>
  <si>
    <t xml:space="preserve">WS-25</t>
  </si>
  <si>
    <t xml:space="preserve">Indie Hackers</t>
  </si>
  <si>
    <t xml:space="preserve">https://www.indiehackers.com/</t>
  </si>
  <si>
    <t xml:space="preserve">Create a product page after sign-up (exact URL to be captured)</t>
  </si>
  <si>
    <t xml:space="preserve">Founder community</t>
  </si>
  <si>
    <t xml:space="preserve">Low-medium - aiTransform.com product page</t>
  </si>
  <si>
    <t xml:space="preserve">Product page</t>
  </si>
  <si>
    <t xml:space="preserve">Low relevance for enterprise services.</t>
  </si>
  <si>
    <t xml:space="preserve">Considered and excluded in batch 1</t>
  </si>
  <si>
    <t xml:space="preserve">Capterra / GetApp / Software Advice</t>
  </si>
  <si>
    <t xml:space="preserve">A third-party report (saascity.io, Oct 2026) says a free Capterra profile has no website link, and the vendor flow now runs through G2. Not a backlink opportunity on the free tier.</t>
  </si>
  <si>
    <t xml:space="preserve">PublishYourSaaS</t>
  </si>
  <si>
    <t xml:space="preserve">Dofollow link on the free tier depends on installing the site's badge on your own website (reciprocal link scheme). Excluded to avoid link-scheme risk.</t>
  </si>
  <si>
    <t xml:space="preserve">Submission Tracker - statuses stay 'Not Started' until a real submission is made</t>
  </si>
  <si>
    <t xml:space="preserve">Fill only the yellow columns. Never enter passwords here. Published URL stays blank until the page is live and you have opened it.</t>
  </si>
  <si>
    <t xml:space="preserve">Content file</t>
  </si>
  <si>
    <t xml:space="preserve">Target URL</t>
  </si>
  <si>
    <t xml:space="preserve">Proposed anchor text</t>
  </si>
  <si>
    <t xml:space="preserve">Status</t>
  </si>
  <si>
    <t xml:space="preserve">Date submitted</t>
  </si>
  <si>
    <t xml:space="preserve">Account email used (no passwords)</t>
  </si>
  <si>
    <t xml:space="preserve">Confirmation / draft URL</t>
  </si>
  <si>
    <t xml:space="preserve">Published URL</t>
  </si>
  <si>
    <t xml:space="preserve">Screenshot - confirmation (filename)</t>
  </si>
  <si>
    <t xml:space="preserve">Screenshot - published page (filename)</t>
  </si>
  <si>
    <t xml:space="preserve">Notes</t>
  </si>
  <si>
    <t xml:space="preserve">TechAbout</t>
  </si>
  <si>
    <t xml:space="preserve">Not Started</t>
  </si>
  <si>
    <t xml:space="preserve">techabout.com</t>
  </si>
  <si>
    <t xml:space="preserve">https://www.techabout.com/services/ai-ml-solutions</t>
  </si>
  <si>
    <t xml:space="preserve">https://www.techabout.com/services/cloud-infrastructure</t>
  </si>
  <si>
    <t xml:space="preserve">cloud cost review checklist from TechAbout</t>
  </si>
  <si>
    <t xml:space="preserve">https://www.techabout.com/services/express/wordpress-to-nextjs-migration</t>
  </si>
  <si>
    <t xml:space="preserve">https://www.techabout.com/services/data-analytics</t>
  </si>
  <si>
    <t xml:space="preserve">TechAbout's data engineering and analytics services</t>
  </si>
  <si>
    <t xml:space="preserve">https://aitransform.com</t>
  </si>
  <si>
    <t xml:space="preserve">aiTransform</t>
  </si>
  <si>
    <t xml:space="preserve">Link Verification - complete only after opening the live published page</t>
  </si>
  <si>
    <t xml:space="preserve">rel attribute: open the page, right-click the TechAbout link &gt; Inspect, read the &lt;a&gt; tag. Choose 'none' ONLY if the tag has no nofollow/sponsored/ugc. Classification is automatic.</t>
  </si>
  <si>
    <t xml:space="preserve">Published URL (from tracker)</t>
  </si>
  <si>
    <t xml:space="preserve">TechAbout destination URL (as seen)</t>
  </si>
  <si>
    <t xml:space="preserve">Anchor text (as seen)</t>
  </si>
  <si>
    <t xml:space="preserve">Link clickable?</t>
  </si>
  <si>
    <t xml:space="preserve">HTTP / access result</t>
  </si>
  <si>
    <t xml:space="preserve">rel attribute observed</t>
  </si>
  <si>
    <t xml:space="preserve">Final classification</t>
  </si>
  <si>
    <t xml:space="preserve">Screenshot - link HTML (filename)</t>
  </si>
  <si>
    <t xml:space="preserve">Summary - all counts are formulas over the other sheets</t>
  </si>
  <si>
    <t xml:space="preserve">Metric</t>
  </si>
  <si>
    <t xml:space="preserve">Count</t>
  </si>
  <si>
    <t xml:space="preserve">How it is counted</t>
  </si>
  <si>
    <t xml:space="preserve">Candidate websites researched (this batch)</t>
  </si>
  <si>
    <t xml:space="preserve">Rows in Website Research</t>
  </si>
  <si>
    <t xml:space="preserve">Target for full task</t>
  </si>
  <si>
    <t xml:space="preserve">Task requirement (hard-coded input from the brief)</t>
  </si>
  <si>
    <t xml:space="preserve">Candidates still to research</t>
  </si>
  <si>
    <t xml:space="preserve">Target minus researched</t>
  </si>
  <si>
    <t xml:space="preserve">Free opportunities verified on the platform's own page (tier A, free = Yes)</t>
  </si>
  <si>
    <t xml:space="preserve">Free submission status starts with 'Yes'</t>
  </si>
  <si>
    <t xml:space="preserve">Free opportunities partly verified</t>
  </si>
  <si>
    <t xml:space="preserve">Status starts with 'Partial'</t>
  </si>
  <si>
    <t xml:space="preserve">Free status reported by third parties only</t>
  </si>
  <si>
    <t xml:space="preserve">Status starts with 'Reported'</t>
  </si>
  <si>
    <t xml:space="preserve">Free status not verified yet</t>
  </si>
  <si>
    <t xml:space="preserve">Status starts with 'Unverified'</t>
  </si>
  <si>
    <t xml:space="preserve">Content drafts prepared (files in /content)</t>
  </si>
  <si>
    <t xml:space="preserve">Rows whose content file is a .md draft (shared drafts counted per site)</t>
  </si>
  <si>
    <t xml:space="preserve">Submissions Not Started</t>
  </si>
  <si>
    <t xml:space="preserve">Tracker status</t>
  </si>
  <si>
    <t xml:space="preserve">Submissions In Progress</t>
  </si>
  <si>
    <t xml:space="preserve">Submissions attempted (submitted or beyond)</t>
  </si>
  <si>
    <t xml:space="preserve">Submitted + Pending Review + Approved/Live + Rejected</t>
  </si>
  <si>
    <t xml:space="preserve">Submissions pending review</t>
  </si>
  <si>
    <t xml:space="preserve">Submissions approved</t>
  </si>
  <si>
    <t xml:space="preserve">Live published placements (URL recorded)</t>
  </si>
  <si>
    <t xml:space="preserve">Non-empty Published URL cells</t>
  </si>
  <si>
    <t xml:space="preserve">Confirmed do-follow links</t>
  </si>
  <si>
    <t xml:space="preserve">Link Verification classification</t>
  </si>
  <si>
    <t xml:space="preserve">No-follow or qualified links</t>
  </si>
  <si>
    <t xml:space="preserve">Unverified links (published but not conclusively inspected)</t>
  </si>
  <si>
    <t xml:space="preserve">Not published</t>
  </si>
  <si>
    <t xml:space="preserve">Rejected or unavailable</t>
  </si>
  <si>
    <t xml:space="preserve">Tracker status Rejected + Unavailable</t>
  </si>
  <si>
    <t xml:space="preserve">Check: tracker rows equal research rows</t>
  </si>
  <si>
    <t xml:space="preserve">Integrity check</t>
  </si>
  <si>
    <t xml:space="preserve">Legend</t>
  </si>
  <si>
    <t xml:space="preserve">Yellow cells = you fill them in. Blue text = typed inputs. Black = formulas. Green = formulas that pull from another sheet.</t>
  </si>
  <si>
    <t xml:space="preserve">Status values (Submission Tracker): Not Started, In Progress, Submitted, Pending Review, Approved/Live, Rejected, Unavailable.</t>
  </si>
  <si>
    <t xml:space="preserve">rel values (Link Verification): none, nofollow, sponsored, ugc, nofollow ugc, nofollow sponsored, cannot inspect.</t>
  </si>
  <si>
    <t xml:space="preserve">Example of a correctly completed row (illustration only - not real data): Status = Approved/Live; Published URL = the exact address of the live page you opened; Link clickable = Yes; rel = nofollow; Classification then shows 'No-follow or qualified'.</t>
  </si>
  <si>
    <t xml:space="preserve">Batch 1 contains 25 of the 100 target websites. Nothing has been submitted: every status is Not Started.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</si>
</sst>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38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22"/>
    <col collapsed="false" customWidth="true" hidden="false" outlineLevel="0" max="9" min="9" style="0" width="9"/>
    <col collapsed="false" customWidth="true" hidden="false" outlineLevel="0" max="10" min="10" style="0" width="40"/>
    <col collapsed="false" customWidth="true" hidden="false" outlineLevel="0" max="11" min="11" style="0" width="60"/>
    <col collapsed="false" customWidth="true" hidden="false" outlineLevel="0" max="12" min="12" style="0" width="20"/>
    <col collapsed="false" customWidth="true" hidden="false" outlineLevel="0" max="13" min="13" style="0" width="30"/>
    <col collapsed="false" customWidth="true" hidden="false" outlineLevel="0" max="14" min="14" style="0" width="32"/>
    <col collapsed="false" customWidth="true" hidden="false" outlineLevel="0" max="15" min="15" style="0" width="36"/>
    <col collapsed="false" customWidth="true" hidden="false" outlineLevel="0" max="21" min="16" style="0" width="10"/>
    <col collapsed="false" customWidth="true" hidden="false" outlineLevel="0" max="22" min="22" style="0" width="12"/>
    <col collapsed="false" customWidth="true" hidden="false" outlineLevel="0" max="23" min="23" style="0" width="32"/>
    <col collapsed="false" customWidth="true" hidden="false" outlineLevel="0" max="24" min="24" style="0" width="44"/>
    <col collapsed="false" customWidth="true" hidden="false" outlineLevel="0" max="25" min="25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  <c r="O3" s="3" t="s">
        <v>3</v>
      </c>
      <c r="P3" s="4" t="n">
        <v>0.3</v>
      </c>
      <c r="Q3" s="4" t="n">
        <v>0.25</v>
      </c>
      <c r="R3" s="4" t="n">
        <v>0.2</v>
      </c>
      <c r="S3" s="4" t="n">
        <v>0.15</v>
      </c>
      <c r="T3" s="4" t="n">
        <v>0.1</v>
      </c>
    </row>
    <row r="5" customFormat="false" ht="42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  <c r="P5" s="5" t="s">
        <v>19</v>
      </c>
      <c r="Q5" s="5" t="s">
        <v>20</v>
      </c>
      <c r="R5" s="5" t="s">
        <v>21</v>
      </c>
      <c r="S5" s="5" t="s">
        <v>22</v>
      </c>
      <c r="T5" s="5" t="s">
        <v>23</v>
      </c>
      <c r="U5" s="5" t="s">
        <v>24</v>
      </c>
      <c r="V5" s="5" t="s">
        <v>25</v>
      </c>
      <c r="W5" s="5" t="s">
        <v>26</v>
      </c>
      <c r="X5" s="5" t="s">
        <v>27</v>
      </c>
      <c r="Y5" s="5" t="s">
        <v>28</v>
      </c>
    </row>
    <row r="6" customFormat="false" ht="46.25" hidden="false" customHeight="false" outlineLevel="0" collapsed="false">
      <c r="A6" s="6" t="n">
        <f aca="false">RANK(U6,$U$6:$U$30,0)</f>
        <v>1</v>
      </c>
      <c r="B6" s="6" t="s">
        <v>29</v>
      </c>
      <c r="C6" s="6" t="s">
        <v>30</v>
      </c>
      <c r="D6" s="6" t="s">
        <v>31</v>
      </c>
      <c r="E6" s="6" t="s">
        <v>32</v>
      </c>
      <c r="F6" s="6" t="s">
        <v>33</v>
      </c>
      <c r="G6" s="6" t="s">
        <v>34</v>
      </c>
      <c r="H6" s="6" t="s">
        <v>35</v>
      </c>
      <c r="I6" s="6" t="s">
        <v>36</v>
      </c>
      <c r="J6" s="6" t="s">
        <v>37</v>
      </c>
      <c r="K6" s="6" t="s">
        <v>38</v>
      </c>
      <c r="L6" s="6" t="s">
        <v>39</v>
      </c>
      <c r="M6" s="6" t="s">
        <v>40</v>
      </c>
      <c r="N6" s="6" t="s">
        <v>41</v>
      </c>
      <c r="O6" s="6" t="s">
        <v>42</v>
      </c>
      <c r="P6" s="7" t="n">
        <v>5</v>
      </c>
      <c r="Q6" s="7" t="n">
        <v>5</v>
      </c>
      <c r="R6" s="7" t="n">
        <v>5</v>
      </c>
      <c r="S6" s="7" t="n">
        <v>3</v>
      </c>
      <c r="T6" s="7" t="n">
        <v>4</v>
      </c>
      <c r="U6" s="6" t="n">
        <f aca="false">ROUND(SUMPRODUCT(P6:T6,$P$3:$T$3),2)</f>
        <v>4.6</v>
      </c>
      <c r="V6" s="6" t="s">
        <v>43</v>
      </c>
      <c r="W6" s="6" t="s">
        <v>44</v>
      </c>
      <c r="X6" s="6" t="s">
        <v>45</v>
      </c>
      <c r="Y6" s="6" t="s">
        <v>46</v>
      </c>
    </row>
    <row r="7" customFormat="false" ht="35.05" hidden="false" customHeight="false" outlineLevel="0" collapsed="false">
      <c r="A7" s="6" t="n">
        <f aca="false">RANK(U7,$U$6:$U$30,0)</f>
        <v>2</v>
      </c>
      <c r="B7" s="6" t="s">
        <v>47</v>
      </c>
      <c r="C7" s="6" t="s">
        <v>48</v>
      </c>
      <c r="D7" s="6" t="s">
        <v>49</v>
      </c>
      <c r="E7" s="6" t="s">
        <v>50</v>
      </c>
      <c r="F7" s="6" t="s">
        <v>51</v>
      </c>
      <c r="G7" s="6" t="s">
        <v>52</v>
      </c>
      <c r="H7" s="6" t="s">
        <v>35</v>
      </c>
      <c r="I7" s="6" t="s">
        <v>36</v>
      </c>
      <c r="J7" s="6" t="s">
        <v>49</v>
      </c>
      <c r="K7" s="6" t="s">
        <v>53</v>
      </c>
      <c r="L7" s="6" t="s">
        <v>39</v>
      </c>
      <c r="M7" s="6" t="s">
        <v>54</v>
      </c>
      <c r="N7" s="6" t="s">
        <v>55</v>
      </c>
      <c r="O7" s="6" t="s">
        <v>56</v>
      </c>
      <c r="P7" s="7" t="n">
        <v>5</v>
      </c>
      <c r="Q7" s="7" t="n">
        <v>4</v>
      </c>
      <c r="R7" s="7" t="n">
        <v>5</v>
      </c>
      <c r="S7" s="7" t="n">
        <v>4</v>
      </c>
      <c r="T7" s="7" t="n">
        <v>4</v>
      </c>
      <c r="U7" s="6" t="n">
        <f aca="false">ROUND(SUMPRODUCT(P7:T7,$P$3:$T$3),2)</f>
        <v>4.5</v>
      </c>
      <c r="V7" s="6" t="s">
        <v>43</v>
      </c>
      <c r="W7" s="6" t="s">
        <v>44</v>
      </c>
      <c r="X7" s="6" t="s">
        <v>57</v>
      </c>
      <c r="Y7" s="6" t="s">
        <v>58</v>
      </c>
    </row>
    <row r="8" customFormat="false" ht="35.05" hidden="false" customHeight="false" outlineLevel="0" collapsed="false">
      <c r="A8" s="6" t="n">
        <f aca="false">RANK(U8,$U$6:$U$30,0)</f>
        <v>2</v>
      </c>
      <c r="B8" s="6" t="s">
        <v>59</v>
      </c>
      <c r="C8" s="6" t="s">
        <v>60</v>
      </c>
      <c r="D8" s="6" t="s">
        <v>61</v>
      </c>
      <c r="E8" s="6" t="s">
        <v>62</v>
      </c>
      <c r="F8" s="6" t="s">
        <v>63</v>
      </c>
      <c r="G8" s="6" t="s">
        <v>64</v>
      </c>
      <c r="H8" s="6" t="s">
        <v>65</v>
      </c>
      <c r="I8" s="6" t="s">
        <v>36</v>
      </c>
      <c r="J8" s="6" t="s">
        <v>66</v>
      </c>
      <c r="K8" s="6" t="s">
        <v>67</v>
      </c>
      <c r="L8" s="6" t="s">
        <v>68</v>
      </c>
      <c r="M8" s="6" t="s">
        <v>69</v>
      </c>
      <c r="N8" s="6" t="s">
        <v>70</v>
      </c>
      <c r="O8" s="6" t="s">
        <v>71</v>
      </c>
      <c r="P8" s="7" t="n">
        <v>4</v>
      </c>
      <c r="Q8" s="7" t="n">
        <v>5</v>
      </c>
      <c r="R8" s="7" t="n">
        <v>5</v>
      </c>
      <c r="S8" s="7" t="n">
        <v>5</v>
      </c>
      <c r="T8" s="7" t="n">
        <v>3</v>
      </c>
      <c r="U8" s="6" t="n">
        <f aca="false">ROUND(SUMPRODUCT(P8:T8,$P$3:$T$3),2)</f>
        <v>4.5</v>
      </c>
      <c r="V8" s="6" t="s">
        <v>43</v>
      </c>
      <c r="W8" s="6" t="s">
        <v>72</v>
      </c>
      <c r="X8" s="6" t="s">
        <v>73</v>
      </c>
      <c r="Y8" s="6" t="s">
        <v>74</v>
      </c>
    </row>
    <row r="9" customFormat="false" ht="46.25" hidden="false" customHeight="false" outlineLevel="0" collapsed="false">
      <c r="A9" s="6" t="n">
        <f aca="false">RANK(U9,$U$6:$U$30,0)</f>
        <v>4</v>
      </c>
      <c r="B9" s="6" t="s">
        <v>75</v>
      </c>
      <c r="C9" s="6" t="s">
        <v>76</v>
      </c>
      <c r="D9" s="6" t="s">
        <v>77</v>
      </c>
      <c r="E9" s="6" t="s">
        <v>78</v>
      </c>
      <c r="F9" s="6" t="s">
        <v>79</v>
      </c>
      <c r="G9" s="6" t="s">
        <v>80</v>
      </c>
      <c r="H9" s="6" t="s">
        <v>81</v>
      </c>
      <c r="I9" s="6" t="s">
        <v>82</v>
      </c>
      <c r="J9" s="6" t="s">
        <v>83</v>
      </c>
      <c r="K9" s="6" t="s">
        <v>84</v>
      </c>
      <c r="L9" s="6" t="s">
        <v>39</v>
      </c>
      <c r="M9" s="6" t="s">
        <v>54</v>
      </c>
      <c r="N9" s="6" t="s">
        <v>55</v>
      </c>
      <c r="O9" s="6" t="s">
        <v>85</v>
      </c>
      <c r="P9" s="7" t="n">
        <v>5</v>
      </c>
      <c r="Q9" s="7" t="n">
        <v>4</v>
      </c>
      <c r="R9" s="7" t="n">
        <v>4</v>
      </c>
      <c r="S9" s="7" t="n">
        <v>4</v>
      </c>
      <c r="T9" s="7" t="n">
        <v>4</v>
      </c>
      <c r="U9" s="6" t="n">
        <f aca="false">ROUND(SUMPRODUCT(P9:T9,$P$3:$T$3),2)</f>
        <v>4.3</v>
      </c>
      <c r="V9" s="6" t="s">
        <v>43</v>
      </c>
      <c r="W9" s="6" t="s">
        <v>86</v>
      </c>
      <c r="X9" s="6" t="s">
        <v>87</v>
      </c>
      <c r="Y9" s="6" t="s">
        <v>88</v>
      </c>
    </row>
    <row r="10" customFormat="false" ht="35.05" hidden="false" customHeight="false" outlineLevel="0" collapsed="false">
      <c r="A10" s="6" t="n">
        <f aca="false">RANK(U10,$U$6:$U$30,0)</f>
        <v>5</v>
      </c>
      <c r="B10" s="6" t="s">
        <v>89</v>
      </c>
      <c r="C10" s="6" t="s">
        <v>90</v>
      </c>
      <c r="D10" s="6" t="s">
        <v>91</v>
      </c>
      <c r="E10" s="6" t="s">
        <v>92</v>
      </c>
      <c r="F10" s="6" t="s">
        <v>93</v>
      </c>
      <c r="G10" s="6" t="s">
        <v>94</v>
      </c>
      <c r="H10" s="6" t="s">
        <v>35</v>
      </c>
      <c r="I10" s="6" t="s">
        <v>36</v>
      </c>
      <c r="J10" s="6" t="s">
        <v>92</v>
      </c>
      <c r="K10" s="6" t="s">
        <v>95</v>
      </c>
      <c r="L10" s="6" t="s">
        <v>96</v>
      </c>
      <c r="M10" s="6" t="s">
        <v>97</v>
      </c>
      <c r="N10" s="6" t="s">
        <v>55</v>
      </c>
      <c r="O10" s="6" t="s">
        <v>98</v>
      </c>
      <c r="P10" s="7" t="n">
        <v>5</v>
      </c>
      <c r="Q10" s="7" t="n">
        <v>5</v>
      </c>
      <c r="R10" s="7" t="n">
        <v>5</v>
      </c>
      <c r="S10" s="7" t="n">
        <v>2</v>
      </c>
      <c r="T10" s="7" t="n">
        <v>2</v>
      </c>
      <c r="U10" s="6" t="n">
        <f aca="false">ROUND(SUMPRODUCT(P10:T10,$P$3:$T$3),2)</f>
        <v>4.25</v>
      </c>
      <c r="V10" s="6" t="s">
        <v>43</v>
      </c>
      <c r="W10" s="6" t="s">
        <v>99</v>
      </c>
      <c r="X10" s="6" t="s">
        <v>100</v>
      </c>
      <c r="Y10" s="6" t="s">
        <v>101</v>
      </c>
    </row>
    <row r="11" customFormat="false" ht="35.05" hidden="false" customHeight="false" outlineLevel="0" collapsed="false">
      <c r="A11" s="6" t="n">
        <f aca="false">RANK(U11,$U$6:$U$30,0)</f>
        <v>6</v>
      </c>
      <c r="B11" s="6" t="s">
        <v>102</v>
      </c>
      <c r="C11" s="6" t="s">
        <v>103</v>
      </c>
      <c r="D11" s="6" t="s">
        <v>104</v>
      </c>
      <c r="E11" s="6" t="s">
        <v>105</v>
      </c>
      <c r="F11" s="6" t="s">
        <v>106</v>
      </c>
      <c r="G11" s="6" t="s">
        <v>107</v>
      </c>
      <c r="H11" s="6" t="s">
        <v>108</v>
      </c>
      <c r="I11" s="6" t="s">
        <v>36</v>
      </c>
      <c r="J11" s="6" t="s">
        <v>66</v>
      </c>
      <c r="K11" s="6" t="s">
        <v>109</v>
      </c>
      <c r="L11" s="6" t="s">
        <v>110</v>
      </c>
      <c r="M11" s="6" t="s">
        <v>69</v>
      </c>
      <c r="N11" s="6" t="s">
        <v>55</v>
      </c>
      <c r="O11" s="6" t="s">
        <v>111</v>
      </c>
      <c r="P11" s="7" t="n">
        <v>3</v>
      </c>
      <c r="Q11" s="7" t="n">
        <v>5</v>
      </c>
      <c r="R11" s="7" t="n">
        <v>5</v>
      </c>
      <c r="S11" s="7" t="n">
        <v>5</v>
      </c>
      <c r="T11" s="7" t="n">
        <v>3</v>
      </c>
      <c r="U11" s="6" t="n">
        <f aca="false">ROUND(SUMPRODUCT(P11:T11,$P$3:$T$3),2)</f>
        <v>4.2</v>
      </c>
      <c r="V11" s="6" t="s">
        <v>43</v>
      </c>
      <c r="W11" s="6" t="s">
        <v>112</v>
      </c>
      <c r="X11" s="6" t="s">
        <v>113</v>
      </c>
      <c r="Y11" s="6" t="s">
        <v>74</v>
      </c>
    </row>
    <row r="12" customFormat="false" ht="35.05" hidden="false" customHeight="false" outlineLevel="0" collapsed="false">
      <c r="A12" s="6" t="n">
        <f aca="false">RANK(U12,$U$6:$U$30,0)</f>
        <v>7</v>
      </c>
      <c r="B12" s="6" t="s">
        <v>114</v>
      </c>
      <c r="C12" s="6" t="s">
        <v>115</v>
      </c>
      <c r="D12" s="6" t="s">
        <v>116</v>
      </c>
      <c r="E12" s="6" t="s">
        <v>117</v>
      </c>
      <c r="F12" s="6" t="s">
        <v>118</v>
      </c>
      <c r="G12" s="6" t="s">
        <v>119</v>
      </c>
      <c r="H12" s="6" t="s">
        <v>120</v>
      </c>
      <c r="I12" s="6" t="s">
        <v>36</v>
      </c>
      <c r="J12" s="6" t="s">
        <v>121</v>
      </c>
      <c r="K12" s="6" t="s">
        <v>122</v>
      </c>
      <c r="L12" s="6" t="s">
        <v>123</v>
      </c>
      <c r="M12" s="6" t="s">
        <v>124</v>
      </c>
      <c r="N12" s="6" t="s">
        <v>55</v>
      </c>
      <c r="O12" s="6" t="s">
        <v>125</v>
      </c>
      <c r="P12" s="7" t="n">
        <v>4</v>
      </c>
      <c r="Q12" s="7" t="n">
        <v>4</v>
      </c>
      <c r="R12" s="7" t="n">
        <v>4</v>
      </c>
      <c r="S12" s="7" t="n">
        <v>5</v>
      </c>
      <c r="T12" s="7" t="n">
        <v>4</v>
      </c>
      <c r="U12" s="6" t="n">
        <f aca="false">ROUND(SUMPRODUCT(P12:T12,$P$3:$T$3),2)</f>
        <v>4.15</v>
      </c>
      <c r="V12" s="6" t="s">
        <v>43</v>
      </c>
      <c r="W12" s="6" t="s">
        <v>126</v>
      </c>
      <c r="X12" s="6" t="s">
        <v>127</v>
      </c>
      <c r="Y12" s="6" t="s">
        <v>128</v>
      </c>
    </row>
    <row r="13" customFormat="false" ht="35.05" hidden="false" customHeight="false" outlineLevel="0" collapsed="false">
      <c r="A13" s="6" t="n">
        <f aca="false">RANK(U13,$U$6:$U$30,0)</f>
        <v>8</v>
      </c>
      <c r="B13" s="6" t="s">
        <v>129</v>
      </c>
      <c r="C13" s="6" t="s">
        <v>130</v>
      </c>
      <c r="D13" s="6" t="s">
        <v>131</v>
      </c>
      <c r="E13" s="6" t="s">
        <v>132</v>
      </c>
      <c r="F13" s="6" t="s">
        <v>133</v>
      </c>
      <c r="G13" s="6" t="s">
        <v>134</v>
      </c>
      <c r="H13" s="6" t="s">
        <v>135</v>
      </c>
      <c r="I13" s="6" t="s">
        <v>36</v>
      </c>
      <c r="J13" s="6" t="s">
        <v>136</v>
      </c>
      <c r="K13" s="6" t="s">
        <v>137</v>
      </c>
      <c r="L13" s="6" t="s">
        <v>138</v>
      </c>
      <c r="M13" s="6" t="s">
        <v>139</v>
      </c>
      <c r="N13" s="6" t="s">
        <v>55</v>
      </c>
      <c r="O13" s="6" t="s">
        <v>140</v>
      </c>
      <c r="P13" s="7" t="n">
        <v>5</v>
      </c>
      <c r="Q13" s="7" t="n">
        <v>5</v>
      </c>
      <c r="R13" s="7" t="n">
        <v>3</v>
      </c>
      <c r="S13" s="7" t="n">
        <v>2</v>
      </c>
      <c r="T13" s="7" t="n">
        <v>3</v>
      </c>
      <c r="U13" s="6" t="n">
        <f aca="false">ROUND(SUMPRODUCT(P13:T13,$P$3:$T$3),2)</f>
        <v>3.95</v>
      </c>
      <c r="V13" s="6" t="s">
        <v>43</v>
      </c>
      <c r="W13" s="6" t="s">
        <v>141</v>
      </c>
      <c r="X13" s="6" t="s">
        <v>142</v>
      </c>
      <c r="Y13" s="6" t="s">
        <v>143</v>
      </c>
    </row>
    <row r="14" customFormat="false" ht="57.45" hidden="false" customHeight="false" outlineLevel="0" collapsed="false">
      <c r="A14" s="6" t="n">
        <f aca="false">RANK(U14,$U$6:$U$30,0)</f>
        <v>9</v>
      </c>
      <c r="B14" s="6" t="s">
        <v>144</v>
      </c>
      <c r="C14" s="6" t="s">
        <v>145</v>
      </c>
      <c r="D14" s="6" t="s">
        <v>146</v>
      </c>
      <c r="E14" s="6" t="s">
        <v>147</v>
      </c>
      <c r="F14" s="6" t="s">
        <v>148</v>
      </c>
      <c r="G14" s="6" t="s">
        <v>149</v>
      </c>
      <c r="H14" s="6" t="s">
        <v>35</v>
      </c>
      <c r="I14" s="6" t="s">
        <v>36</v>
      </c>
      <c r="J14" s="6" t="s">
        <v>150</v>
      </c>
      <c r="K14" s="6" t="s">
        <v>151</v>
      </c>
      <c r="L14" s="6" t="s">
        <v>152</v>
      </c>
      <c r="M14" s="6" t="s">
        <v>153</v>
      </c>
      <c r="N14" s="6" t="s">
        <v>154</v>
      </c>
      <c r="O14" s="6" t="s">
        <v>155</v>
      </c>
      <c r="P14" s="7" t="n">
        <v>4</v>
      </c>
      <c r="Q14" s="7" t="n">
        <v>4</v>
      </c>
      <c r="R14" s="7" t="n">
        <v>4</v>
      </c>
      <c r="S14" s="7" t="n">
        <v>3</v>
      </c>
      <c r="T14" s="7" t="n">
        <v>4</v>
      </c>
      <c r="U14" s="6" t="n">
        <f aca="false">ROUND(SUMPRODUCT(P14:T14,$P$3:$T$3),2)</f>
        <v>3.85</v>
      </c>
      <c r="V14" s="6" t="s">
        <v>43</v>
      </c>
      <c r="W14" s="6" t="s">
        <v>86</v>
      </c>
      <c r="X14" s="6" t="s">
        <v>156</v>
      </c>
      <c r="Y14" s="6" t="s">
        <v>157</v>
      </c>
    </row>
    <row r="15" customFormat="false" ht="23.85" hidden="false" customHeight="false" outlineLevel="0" collapsed="false">
      <c r="A15" s="6" t="n">
        <f aca="false">RANK(U15,$U$6:$U$30,0)</f>
        <v>10</v>
      </c>
      <c r="B15" s="6" t="s">
        <v>158</v>
      </c>
      <c r="C15" s="6" t="s">
        <v>159</v>
      </c>
      <c r="D15" s="6" t="s">
        <v>160</v>
      </c>
      <c r="E15" s="6" t="s">
        <v>161</v>
      </c>
      <c r="F15" s="6" t="s">
        <v>162</v>
      </c>
      <c r="G15" s="6" t="s">
        <v>163</v>
      </c>
      <c r="H15" s="6" t="s">
        <v>35</v>
      </c>
      <c r="I15" s="6" t="s">
        <v>36</v>
      </c>
      <c r="J15" s="6" t="s">
        <v>37</v>
      </c>
      <c r="K15" s="6" t="s">
        <v>164</v>
      </c>
      <c r="L15" s="6" t="s">
        <v>165</v>
      </c>
      <c r="M15" s="6" t="s">
        <v>166</v>
      </c>
      <c r="N15" s="6" t="s">
        <v>55</v>
      </c>
      <c r="O15" s="6" t="s">
        <v>167</v>
      </c>
      <c r="P15" s="7" t="n">
        <v>4</v>
      </c>
      <c r="Q15" s="7" t="n">
        <v>4</v>
      </c>
      <c r="R15" s="7" t="n">
        <v>4</v>
      </c>
      <c r="S15" s="7" t="n">
        <v>3</v>
      </c>
      <c r="T15" s="7" t="n">
        <v>3</v>
      </c>
      <c r="U15" s="6" t="n">
        <f aca="false">ROUND(SUMPRODUCT(P15:T15,$P$3:$T$3),2)</f>
        <v>3.75</v>
      </c>
      <c r="V15" s="6" t="s">
        <v>43</v>
      </c>
      <c r="W15" s="6" t="s">
        <v>168</v>
      </c>
      <c r="X15" s="6" t="s">
        <v>169</v>
      </c>
      <c r="Y15" s="6" t="s">
        <v>170</v>
      </c>
    </row>
    <row r="16" customFormat="false" ht="23.85" hidden="false" customHeight="false" outlineLevel="0" collapsed="false">
      <c r="A16" s="6" t="n">
        <f aca="false">RANK(U16,$U$6:$U$30,0)</f>
        <v>10</v>
      </c>
      <c r="B16" s="6" t="s">
        <v>171</v>
      </c>
      <c r="C16" s="6" t="s">
        <v>172</v>
      </c>
      <c r="D16" s="6" t="s">
        <v>173</v>
      </c>
      <c r="E16" s="6" t="s">
        <v>174</v>
      </c>
      <c r="F16" s="6" t="s">
        <v>175</v>
      </c>
      <c r="G16" s="6" t="s">
        <v>176</v>
      </c>
      <c r="H16" s="6" t="s">
        <v>177</v>
      </c>
      <c r="I16" s="6" t="s">
        <v>82</v>
      </c>
      <c r="J16" s="6" t="s">
        <v>178</v>
      </c>
      <c r="K16" s="6" t="s">
        <v>179</v>
      </c>
      <c r="L16" s="6" t="s">
        <v>39</v>
      </c>
      <c r="M16" s="6" t="s">
        <v>69</v>
      </c>
      <c r="N16" s="6" t="s">
        <v>55</v>
      </c>
      <c r="O16" s="6" t="s">
        <v>180</v>
      </c>
      <c r="P16" s="7" t="n">
        <v>3</v>
      </c>
      <c r="Q16" s="7" t="n">
        <v>5</v>
      </c>
      <c r="R16" s="7" t="n">
        <v>3</v>
      </c>
      <c r="S16" s="7" t="n">
        <v>4</v>
      </c>
      <c r="T16" s="7" t="n">
        <v>4</v>
      </c>
      <c r="U16" s="6" t="n">
        <f aca="false">ROUND(SUMPRODUCT(P16:T16,$P$3:$T$3),2)</f>
        <v>3.75</v>
      </c>
      <c r="V16" s="6" t="s">
        <v>43</v>
      </c>
      <c r="W16" s="6" t="s">
        <v>181</v>
      </c>
      <c r="X16" s="6" t="s">
        <v>182</v>
      </c>
      <c r="Y16" s="6" t="s">
        <v>183</v>
      </c>
    </row>
    <row r="17" customFormat="false" ht="35.05" hidden="false" customHeight="false" outlineLevel="0" collapsed="false">
      <c r="A17" s="6" t="n">
        <f aca="false">RANK(U17,$U$6:$U$30,0)</f>
        <v>12</v>
      </c>
      <c r="B17" s="6" t="s">
        <v>184</v>
      </c>
      <c r="C17" s="6" t="s">
        <v>185</v>
      </c>
      <c r="D17" s="6" t="s">
        <v>186</v>
      </c>
      <c r="E17" s="6" t="s">
        <v>187</v>
      </c>
      <c r="F17" s="6" t="s">
        <v>188</v>
      </c>
      <c r="G17" s="6" t="s">
        <v>189</v>
      </c>
      <c r="H17" s="6" t="s">
        <v>35</v>
      </c>
      <c r="I17" s="6" t="s">
        <v>36</v>
      </c>
      <c r="J17" s="6" t="s">
        <v>187</v>
      </c>
      <c r="K17" s="6" t="s">
        <v>190</v>
      </c>
      <c r="L17" s="6" t="s">
        <v>191</v>
      </c>
      <c r="M17" s="6" t="s">
        <v>192</v>
      </c>
      <c r="N17" s="6" t="s">
        <v>55</v>
      </c>
      <c r="O17" s="6" t="s">
        <v>193</v>
      </c>
      <c r="P17" s="7" t="n">
        <v>4</v>
      </c>
      <c r="Q17" s="7" t="n">
        <v>3</v>
      </c>
      <c r="R17" s="7" t="n">
        <v>4</v>
      </c>
      <c r="S17" s="7" t="n">
        <v>4</v>
      </c>
      <c r="T17" s="7" t="n">
        <v>3</v>
      </c>
      <c r="U17" s="6" t="n">
        <f aca="false">ROUND(SUMPRODUCT(P17:T17,$P$3:$T$3),2)</f>
        <v>3.65</v>
      </c>
      <c r="V17" s="6" t="s">
        <v>43</v>
      </c>
      <c r="W17" s="6" t="s">
        <v>194</v>
      </c>
      <c r="X17" s="6" t="s">
        <v>195</v>
      </c>
      <c r="Y17" s="6" t="s">
        <v>196</v>
      </c>
    </row>
    <row r="18" customFormat="false" ht="23.85" hidden="false" customHeight="false" outlineLevel="0" collapsed="false">
      <c r="A18" s="6" t="n">
        <f aca="false">RANK(U18,$U$6:$U$30,0)</f>
        <v>13</v>
      </c>
      <c r="B18" s="6" t="s">
        <v>197</v>
      </c>
      <c r="C18" s="6" t="s">
        <v>198</v>
      </c>
      <c r="D18" s="6" t="s">
        <v>199</v>
      </c>
      <c r="E18" s="6" t="s">
        <v>200</v>
      </c>
      <c r="F18" s="6" t="s">
        <v>201</v>
      </c>
      <c r="G18" s="6" t="s">
        <v>202</v>
      </c>
      <c r="H18" s="6" t="s">
        <v>203</v>
      </c>
      <c r="I18" s="6" t="s">
        <v>204</v>
      </c>
      <c r="J18" s="6" t="s">
        <v>205</v>
      </c>
      <c r="K18" s="6" t="s">
        <v>206</v>
      </c>
      <c r="L18" s="6" t="s">
        <v>123</v>
      </c>
      <c r="M18" s="6" t="s">
        <v>207</v>
      </c>
      <c r="N18" s="6" t="s">
        <v>55</v>
      </c>
      <c r="O18" s="6" t="s">
        <v>208</v>
      </c>
      <c r="P18" s="7" t="n">
        <v>4</v>
      </c>
      <c r="Q18" s="7" t="n">
        <v>4</v>
      </c>
      <c r="R18" s="7" t="n">
        <v>2</v>
      </c>
      <c r="S18" s="7" t="n">
        <v>4</v>
      </c>
      <c r="T18" s="7" t="n">
        <v>4</v>
      </c>
      <c r="U18" s="6" t="n">
        <f aca="false">ROUND(SUMPRODUCT(P18:T18,$P$3:$T$3),2)</f>
        <v>3.6</v>
      </c>
      <c r="V18" s="6" t="s">
        <v>43</v>
      </c>
      <c r="W18" s="6" t="s">
        <v>209</v>
      </c>
      <c r="X18" s="6" t="s">
        <v>210</v>
      </c>
      <c r="Y18" s="6" t="s">
        <v>211</v>
      </c>
    </row>
    <row r="19" customFormat="false" ht="35.05" hidden="false" customHeight="false" outlineLevel="0" collapsed="false">
      <c r="A19" s="6" t="n">
        <f aca="false">RANK(U19,$U$6:$U$30,0)</f>
        <v>13</v>
      </c>
      <c r="B19" s="6" t="s">
        <v>212</v>
      </c>
      <c r="C19" s="6" t="s">
        <v>213</v>
      </c>
      <c r="D19" s="6" t="s">
        <v>214</v>
      </c>
      <c r="E19" s="6" t="s">
        <v>215</v>
      </c>
      <c r="F19" s="6" t="s">
        <v>216</v>
      </c>
      <c r="G19" s="6" t="s">
        <v>217</v>
      </c>
      <c r="H19" s="6" t="s">
        <v>218</v>
      </c>
      <c r="I19" s="6" t="s">
        <v>36</v>
      </c>
      <c r="J19" s="6" t="s">
        <v>219</v>
      </c>
      <c r="K19" s="6" t="s">
        <v>220</v>
      </c>
      <c r="L19" s="6" t="s">
        <v>39</v>
      </c>
      <c r="M19" s="6" t="s">
        <v>69</v>
      </c>
      <c r="N19" s="6" t="s">
        <v>55</v>
      </c>
      <c r="O19" s="6" t="s">
        <v>221</v>
      </c>
      <c r="P19" s="7" t="n">
        <v>3</v>
      </c>
      <c r="Q19" s="7" t="n">
        <v>4</v>
      </c>
      <c r="R19" s="7" t="n">
        <v>4</v>
      </c>
      <c r="S19" s="7" t="n">
        <v>4</v>
      </c>
      <c r="T19" s="7" t="n">
        <v>3</v>
      </c>
      <c r="U19" s="6" t="n">
        <f aca="false">ROUND(SUMPRODUCT(P19:T19,$P$3:$T$3),2)</f>
        <v>3.6</v>
      </c>
      <c r="V19" s="6" t="s">
        <v>43</v>
      </c>
      <c r="W19" s="6" t="s">
        <v>222</v>
      </c>
      <c r="X19" s="6" t="s">
        <v>223</v>
      </c>
      <c r="Y19" s="6" t="s">
        <v>183</v>
      </c>
    </row>
    <row r="20" customFormat="false" ht="23.85" hidden="false" customHeight="false" outlineLevel="0" collapsed="false">
      <c r="A20" s="6" t="n">
        <f aca="false">RANK(U20,$U$6:$U$30,0)</f>
        <v>13</v>
      </c>
      <c r="B20" s="6" t="s">
        <v>224</v>
      </c>
      <c r="C20" s="6" t="s">
        <v>225</v>
      </c>
      <c r="D20" s="6" t="s">
        <v>226</v>
      </c>
      <c r="E20" s="6" t="s">
        <v>227</v>
      </c>
      <c r="F20" s="6" t="s">
        <v>228</v>
      </c>
      <c r="G20" s="6" t="s">
        <v>229</v>
      </c>
      <c r="H20" s="6" t="s">
        <v>203</v>
      </c>
      <c r="I20" s="6" t="s">
        <v>204</v>
      </c>
      <c r="J20" s="6" t="s">
        <v>230</v>
      </c>
      <c r="K20" s="6" t="s">
        <v>231</v>
      </c>
      <c r="L20" s="6" t="s">
        <v>123</v>
      </c>
      <c r="M20" s="6" t="s">
        <v>207</v>
      </c>
      <c r="N20" s="6" t="s">
        <v>232</v>
      </c>
      <c r="O20" s="6" t="s">
        <v>233</v>
      </c>
      <c r="P20" s="7" t="n">
        <v>3</v>
      </c>
      <c r="Q20" s="7" t="n">
        <v>5</v>
      </c>
      <c r="R20" s="7" t="n">
        <v>2</v>
      </c>
      <c r="S20" s="7" t="n">
        <v>5</v>
      </c>
      <c r="T20" s="7" t="n">
        <v>3</v>
      </c>
      <c r="U20" s="6" t="n">
        <f aca="false">ROUND(SUMPRODUCT(P20:T20,$P$3:$T$3),2)</f>
        <v>3.6</v>
      </c>
      <c r="V20" s="6" t="s">
        <v>43</v>
      </c>
      <c r="W20" s="6" t="s">
        <v>234</v>
      </c>
      <c r="X20" s="6" t="s">
        <v>235</v>
      </c>
      <c r="Y20" s="6" t="s">
        <v>183</v>
      </c>
    </row>
    <row r="21" customFormat="false" ht="23.85" hidden="false" customHeight="false" outlineLevel="0" collapsed="false">
      <c r="A21" s="6" t="n">
        <f aca="false">RANK(U21,$U$6:$U$30,0)</f>
        <v>16</v>
      </c>
      <c r="B21" s="6" t="s">
        <v>236</v>
      </c>
      <c r="C21" s="6" t="s">
        <v>237</v>
      </c>
      <c r="D21" s="6" t="s">
        <v>238</v>
      </c>
      <c r="E21" s="6" t="s">
        <v>239</v>
      </c>
      <c r="F21" s="6" t="s">
        <v>240</v>
      </c>
      <c r="G21" s="6" t="s">
        <v>241</v>
      </c>
      <c r="H21" s="6" t="s">
        <v>177</v>
      </c>
      <c r="I21" s="6" t="s">
        <v>82</v>
      </c>
      <c r="J21" s="6" t="s">
        <v>178</v>
      </c>
      <c r="K21" s="6" t="s">
        <v>242</v>
      </c>
      <c r="L21" s="6" t="s">
        <v>240</v>
      </c>
      <c r="M21" s="6" t="s">
        <v>69</v>
      </c>
      <c r="N21" s="6" t="s">
        <v>243</v>
      </c>
      <c r="O21" s="6" t="s">
        <v>244</v>
      </c>
      <c r="P21" s="7" t="n">
        <v>3</v>
      </c>
      <c r="Q21" s="7" t="n">
        <v>5</v>
      </c>
      <c r="R21" s="7" t="n">
        <v>3</v>
      </c>
      <c r="S21" s="7" t="n">
        <v>4</v>
      </c>
      <c r="T21" s="7" t="n">
        <v>2</v>
      </c>
      <c r="U21" s="6" t="n">
        <f aca="false">ROUND(SUMPRODUCT(P21:T21,$P$3:$T$3),2)</f>
        <v>3.55</v>
      </c>
      <c r="V21" s="6" t="s">
        <v>43</v>
      </c>
      <c r="W21" s="6" t="s">
        <v>245</v>
      </c>
      <c r="X21" s="6" t="s">
        <v>246</v>
      </c>
      <c r="Y21" s="6" t="s">
        <v>183</v>
      </c>
    </row>
    <row r="22" customFormat="false" ht="23.85" hidden="false" customHeight="false" outlineLevel="0" collapsed="false">
      <c r="A22" s="6" t="n">
        <f aca="false">RANK(U22,$U$6:$U$30,0)</f>
        <v>17</v>
      </c>
      <c r="B22" s="6" t="s">
        <v>247</v>
      </c>
      <c r="C22" s="6" t="s">
        <v>248</v>
      </c>
      <c r="D22" s="6" t="s">
        <v>249</v>
      </c>
      <c r="E22" s="6" t="s">
        <v>250</v>
      </c>
      <c r="F22" s="6" t="s">
        <v>251</v>
      </c>
      <c r="G22" s="6" t="s">
        <v>252</v>
      </c>
      <c r="H22" s="6" t="s">
        <v>177</v>
      </c>
      <c r="I22" s="6" t="s">
        <v>82</v>
      </c>
      <c r="J22" s="6" t="s">
        <v>253</v>
      </c>
      <c r="K22" s="6" t="s">
        <v>254</v>
      </c>
      <c r="L22" s="6" t="s">
        <v>255</v>
      </c>
      <c r="M22" s="6" t="s">
        <v>207</v>
      </c>
      <c r="N22" s="6" t="s">
        <v>232</v>
      </c>
      <c r="O22" s="6" t="s">
        <v>256</v>
      </c>
      <c r="P22" s="7" t="n">
        <v>3</v>
      </c>
      <c r="Q22" s="7" t="n">
        <v>5</v>
      </c>
      <c r="R22" s="7" t="n">
        <v>3</v>
      </c>
      <c r="S22" s="7" t="n">
        <v>3</v>
      </c>
      <c r="T22" s="7" t="n">
        <v>3</v>
      </c>
      <c r="U22" s="6" t="n">
        <f aca="false">ROUND(SUMPRODUCT(P22:T22,$P$3:$T$3),2)</f>
        <v>3.5</v>
      </c>
      <c r="V22" s="6" t="s">
        <v>43</v>
      </c>
      <c r="W22" s="6" t="s">
        <v>257</v>
      </c>
      <c r="X22" s="6" t="s">
        <v>258</v>
      </c>
      <c r="Y22" s="6" t="s">
        <v>183</v>
      </c>
    </row>
    <row r="23" customFormat="false" ht="35.05" hidden="false" customHeight="false" outlineLevel="0" collapsed="false">
      <c r="A23" s="6" t="n">
        <f aca="false">RANK(U23,$U$6:$U$30,0)</f>
        <v>18</v>
      </c>
      <c r="B23" s="6" t="s">
        <v>259</v>
      </c>
      <c r="C23" s="6" t="s">
        <v>260</v>
      </c>
      <c r="D23" s="6" t="s">
        <v>261</v>
      </c>
      <c r="E23" s="6" t="s">
        <v>262</v>
      </c>
      <c r="F23" s="6" t="s">
        <v>263</v>
      </c>
      <c r="G23" s="6" t="s">
        <v>264</v>
      </c>
      <c r="H23" s="6" t="s">
        <v>35</v>
      </c>
      <c r="I23" s="6" t="s">
        <v>36</v>
      </c>
      <c r="J23" s="6" t="s">
        <v>262</v>
      </c>
      <c r="K23" s="6" t="s">
        <v>265</v>
      </c>
      <c r="L23" s="6" t="s">
        <v>152</v>
      </c>
      <c r="M23" s="6" t="s">
        <v>266</v>
      </c>
      <c r="N23" s="6" t="s">
        <v>55</v>
      </c>
      <c r="O23" s="6" t="s">
        <v>267</v>
      </c>
      <c r="P23" s="7" t="n">
        <v>3</v>
      </c>
      <c r="Q23" s="7" t="n">
        <v>4</v>
      </c>
      <c r="R23" s="7" t="n">
        <v>4</v>
      </c>
      <c r="S23" s="7" t="n">
        <v>3</v>
      </c>
      <c r="T23" s="7" t="n">
        <v>3</v>
      </c>
      <c r="U23" s="6" t="n">
        <f aca="false">ROUND(SUMPRODUCT(P23:T23,$P$3:$T$3),2)</f>
        <v>3.45</v>
      </c>
      <c r="V23" s="6" t="s">
        <v>43</v>
      </c>
      <c r="W23" s="6" t="s">
        <v>268</v>
      </c>
      <c r="X23" s="6" t="s">
        <v>269</v>
      </c>
      <c r="Y23" s="6" t="s">
        <v>183</v>
      </c>
    </row>
    <row r="24" customFormat="false" ht="35.05" hidden="false" customHeight="false" outlineLevel="0" collapsed="false">
      <c r="A24" s="6" t="n">
        <f aca="false">RANK(U24,$U$6:$U$30,0)</f>
        <v>19</v>
      </c>
      <c r="B24" s="6" t="s">
        <v>270</v>
      </c>
      <c r="C24" s="6" t="s">
        <v>271</v>
      </c>
      <c r="D24" s="6" t="s">
        <v>272</v>
      </c>
      <c r="E24" s="6" t="s">
        <v>273</v>
      </c>
      <c r="F24" s="6" t="s">
        <v>274</v>
      </c>
      <c r="G24" s="6" t="s">
        <v>275</v>
      </c>
      <c r="H24" s="6" t="s">
        <v>177</v>
      </c>
      <c r="I24" s="6" t="s">
        <v>82</v>
      </c>
      <c r="J24" s="6" t="s">
        <v>276</v>
      </c>
      <c r="K24" s="6" t="s">
        <v>277</v>
      </c>
      <c r="L24" s="6" t="s">
        <v>278</v>
      </c>
      <c r="M24" s="6" t="s">
        <v>279</v>
      </c>
      <c r="N24" s="6" t="s">
        <v>280</v>
      </c>
      <c r="O24" s="6" t="s">
        <v>281</v>
      </c>
      <c r="P24" s="7" t="n">
        <v>3</v>
      </c>
      <c r="Q24" s="7" t="n">
        <v>4</v>
      </c>
      <c r="R24" s="7" t="n">
        <v>3</v>
      </c>
      <c r="S24" s="7" t="n">
        <v>4</v>
      </c>
      <c r="T24" s="7" t="n">
        <v>3</v>
      </c>
      <c r="U24" s="6" t="n">
        <f aca="false">ROUND(SUMPRODUCT(P24:T24,$P$3:$T$3),2)</f>
        <v>3.4</v>
      </c>
      <c r="V24" s="6" t="s">
        <v>43</v>
      </c>
      <c r="W24" s="6" t="s">
        <v>282</v>
      </c>
      <c r="X24" s="6" t="s">
        <v>283</v>
      </c>
      <c r="Y24" s="6" t="s">
        <v>183</v>
      </c>
    </row>
    <row r="25" customFormat="false" ht="23.85" hidden="false" customHeight="false" outlineLevel="0" collapsed="false">
      <c r="A25" s="6" t="n">
        <f aca="false">RANK(U25,$U$6:$U$30,0)</f>
        <v>19</v>
      </c>
      <c r="B25" s="6" t="s">
        <v>284</v>
      </c>
      <c r="C25" s="6" t="s">
        <v>285</v>
      </c>
      <c r="D25" s="6" t="s">
        <v>286</v>
      </c>
      <c r="E25" s="6" t="s">
        <v>287</v>
      </c>
      <c r="F25" s="6" t="s">
        <v>288</v>
      </c>
      <c r="G25" s="6" t="s">
        <v>289</v>
      </c>
      <c r="H25" s="6" t="s">
        <v>177</v>
      </c>
      <c r="I25" s="6" t="s">
        <v>82</v>
      </c>
      <c r="J25" s="6" t="s">
        <v>178</v>
      </c>
      <c r="K25" s="6" t="s">
        <v>242</v>
      </c>
      <c r="L25" s="6" t="s">
        <v>278</v>
      </c>
      <c r="M25" s="6" t="s">
        <v>290</v>
      </c>
      <c r="N25" s="6" t="s">
        <v>243</v>
      </c>
      <c r="O25" s="6" t="s">
        <v>291</v>
      </c>
      <c r="P25" s="7" t="n">
        <v>3</v>
      </c>
      <c r="Q25" s="7" t="n">
        <v>4</v>
      </c>
      <c r="R25" s="7" t="n">
        <v>3</v>
      </c>
      <c r="S25" s="7" t="n">
        <v>4</v>
      </c>
      <c r="T25" s="7" t="n">
        <v>3</v>
      </c>
      <c r="U25" s="6" t="n">
        <f aca="false">ROUND(SUMPRODUCT(P25:T25,$P$3:$T$3),2)</f>
        <v>3.4</v>
      </c>
      <c r="V25" s="6" t="s">
        <v>43</v>
      </c>
      <c r="W25" s="6" t="s">
        <v>292</v>
      </c>
      <c r="X25" s="6" t="s">
        <v>293</v>
      </c>
      <c r="Y25" s="6" t="s">
        <v>183</v>
      </c>
    </row>
    <row r="26" customFormat="false" ht="35.05" hidden="false" customHeight="false" outlineLevel="0" collapsed="false">
      <c r="A26" s="6" t="n">
        <f aca="false">RANK(U26,$U$6:$U$30,0)</f>
        <v>21</v>
      </c>
      <c r="B26" s="6" t="s">
        <v>294</v>
      </c>
      <c r="C26" s="6" t="s">
        <v>295</v>
      </c>
      <c r="D26" s="6" t="s">
        <v>296</v>
      </c>
      <c r="E26" s="6" t="s">
        <v>297</v>
      </c>
      <c r="F26" s="6" t="s">
        <v>240</v>
      </c>
      <c r="G26" s="6" t="s">
        <v>298</v>
      </c>
      <c r="H26" s="6" t="s">
        <v>203</v>
      </c>
      <c r="I26" s="6" t="s">
        <v>204</v>
      </c>
      <c r="J26" s="6" t="s">
        <v>66</v>
      </c>
      <c r="K26" s="6" t="s">
        <v>299</v>
      </c>
      <c r="L26" s="6" t="s">
        <v>240</v>
      </c>
      <c r="M26" s="6" t="s">
        <v>69</v>
      </c>
      <c r="N26" s="6" t="s">
        <v>300</v>
      </c>
      <c r="O26" s="6" t="s">
        <v>301</v>
      </c>
      <c r="P26" s="7" t="n">
        <v>3</v>
      </c>
      <c r="Q26" s="7" t="n">
        <v>5</v>
      </c>
      <c r="R26" s="7" t="n">
        <v>2</v>
      </c>
      <c r="S26" s="7" t="n">
        <v>4</v>
      </c>
      <c r="T26" s="7" t="n">
        <v>2</v>
      </c>
      <c r="U26" s="6" t="n">
        <f aca="false">ROUND(SUMPRODUCT(P26:T26,$P$3:$T$3),2)</f>
        <v>3.35</v>
      </c>
      <c r="V26" s="6" t="s">
        <v>43</v>
      </c>
      <c r="W26" s="6" t="s">
        <v>302</v>
      </c>
      <c r="X26" s="6" t="s">
        <v>303</v>
      </c>
      <c r="Y26" s="6" t="s">
        <v>183</v>
      </c>
    </row>
    <row r="27" customFormat="false" ht="23.85" hidden="false" customHeight="false" outlineLevel="0" collapsed="false">
      <c r="A27" s="6" t="n">
        <f aca="false">RANK(U27,$U$6:$U$30,0)</f>
        <v>22</v>
      </c>
      <c r="B27" s="6" t="s">
        <v>304</v>
      </c>
      <c r="C27" s="6" t="s">
        <v>305</v>
      </c>
      <c r="D27" s="6" t="s">
        <v>306</v>
      </c>
      <c r="E27" s="6" t="s">
        <v>307</v>
      </c>
      <c r="F27" s="6" t="s">
        <v>274</v>
      </c>
      <c r="G27" s="6" t="s">
        <v>308</v>
      </c>
      <c r="H27" s="6" t="s">
        <v>203</v>
      </c>
      <c r="I27" s="6" t="s">
        <v>204</v>
      </c>
      <c r="J27" s="6" t="s">
        <v>230</v>
      </c>
      <c r="K27" s="6" t="s">
        <v>309</v>
      </c>
      <c r="L27" s="6" t="s">
        <v>310</v>
      </c>
      <c r="M27" s="6" t="s">
        <v>311</v>
      </c>
      <c r="N27" s="6" t="s">
        <v>243</v>
      </c>
      <c r="O27" s="6" t="s">
        <v>291</v>
      </c>
      <c r="P27" s="7" t="n">
        <v>3</v>
      </c>
      <c r="Q27" s="7" t="n">
        <v>4</v>
      </c>
      <c r="R27" s="7" t="n">
        <v>2</v>
      </c>
      <c r="S27" s="7" t="n">
        <v>4</v>
      </c>
      <c r="T27" s="7" t="n">
        <v>4</v>
      </c>
      <c r="U27" s="6" t="n">
        <f aca="false">ROUND(SUMPRODUCT(P27:T27,$P$3:$T$3),2)</f>
        <v>3.3</v>
      </c>
      <c r="V27" s="6" t="s">
        <v>43</v>
      </c>
      <c r="W27" s="6" t="s">
        <v>312</v>
      </c>
      <c r="X27" s="6" t="s">
        <v>313</v>
      </c>
      <c r="Y27" s="6" t="s">
        <v>183</v>
      </c>
    </row>
    <row r="28" customFormat="false" ht="23.85" hidden="false" customHeight="false" outlineLevel="0" collapsed="false">
      <c r="A28" s="6" t="n">
        <f aca="false">RANK(U28,$U$6:$U$30,0)</f>
        <v>23</v>
      </c>
      <c r="B28" s="6" t="s">
        <v>314</v>
      </c>
      <c r="C28" s="6" t="s">
        <v>315</v>
      </c>
      <c r="D28" s="6" t="s">
        <v>316</v>
      </c>
      <c r="E28" s="6" t="s">
        <v>317</v>
      </c>
      <c r="F28" s="6" t="s">
        <v>318</v>
      </c>
      <c r="G28" s="6" t="s">
        <v>319</v>
      </c>
      <c r="H28" s="6" t="s">
        <v>177</v>
      </c>
      <c r="I28" s="6" t="s">
        <v>82</v>
      </c>
      <c r="J28" s="6" t="s">
        <v>320</v>
      </c>
      <c r="K28" s="6" t="s">
        <v>321</v>
      </c>
      <c r="L28" s="6" t="s">
        <v>39</v>
      </c>
      <c r="M28" s="6" t="s">
        <v>207</v>
      </c>
      <c r="N28" s="6" t="s">
        <v>243</v>
      </c>
      <c r="O28" s="6" t="s">
        <v>233</v>
      </c>
      <c r="P28" s="7" t="n">
        <v>3</v>
      </c>
      <c r="Q28" s="7" t="n">
        <v>3</v>
      </c>
      <c r="R28" s="7" t="n">
        <v>3</v>
      </c>
      <c r="S28" s="7" t="n">
        <v>4</v>
      </c>
      <c r="T28" s="7" t="n">
        <v>3</v>
      </c>
      <c r="U28" s="6" t="n">
        <f aca="false">ROUND(SUMPRODUCT(P28:T28,$P$3:$T$3),2)</f>
        <v>3.15</v>
      </c>
      <c r="V28" s="6" t="s">
        <v>43</v>
      </c>
      <c r="W28" s="6" t="s">
        <v>322</v>
      </c>
      <c r="X28" s="6" t="s">
        <v>323</v>
      </c>
      <c r="Y28" s="6" t="s">
        <v>183</v>
      </c>
    </row>
    <row r="29" customFormat="false" ht="23.85" hidden="false" customHeight="false" outlineLevel="0" collapsed="false">
      <c r="A29" s="6" t="n">
        <f aca="false">RANK(U29,$U$6:$U$30,0)</f>
        <v>24</v>
      </c>
      <c r="B29" s="6" t="s">
        <v>324</v>
      </c>
      <c r="C29" s="6" t="s">
        <v>325</v>
      </c>
      <c r="D29" s="6" t="s">
        <v>326</v>
      </c>
      <c r="E29" s="6" t="s">
        <v>327</v>
      </c>
      <c r="F29" s="6" t="s">
        <v>328</v>
      </c>
      <c r="G29" s="6" t="s">
        <v>329</v>
      </c>
      <c r="H29" s="6" t="s">
        <v>177</v>
      </c>
      <c r="I29" s="6" t="s">
        <v>82</v>
      </c>
      <c r="J29" s="6" t="s">
        <v>178</v>
      </c>
      <c r="K29" s="6" t="s">
        <v>330</v>
      </c>
      <c r="L29" s="6" t="s">
        <v>39</v>
      </c>
      <c r="M29" s="6" t="s">
        <v>311</v>
      </c>
      <c r="N29" s="6" t="s">
        <v>243</v>
      </c>
      <c r="O29" s="6" t="s">
        <v>331</v>
      </c>
      <c r="P29" s="7" t="n">
        <v>4</v>
      </c>
      <c r="Q29" s="7" t="n">
        <v>2</v>
      </c>
      <c r="R29" s="7" t="n">
        <v>2</v>
      </c>
      <c r="S29" s="7" t="n">
        <v>3</v>
      </c>
      <c r="T29" s="7" t="n">
        <v>3</v>
      </c>
      <c r="U29" s="6" t="n">
        <f aca="false">ROUND(SUMPRODUCT(P29:T29,$P$3:$T$3),2)</f>
        <v>2.85</v>
      </c>
      <c r="V29" s="6" t="s">
        <v>43</v>
      </c>
      <c r="W29" s="6" t="s">
        <v>332</v>
      </c>
      <c r="X29" s="6" t="s">
        <v>333</v>
      </c>
      <c r="Y29" s="6" t="s">
        <v>183</v>
      </c>
    </row>
    <row r="30" customFormat="false" ht="23.85" hidden="false" customHeight="false" outlineLevel="0" collapsed="false">
      <c r="A30" s="6" t="n">
        <f aca="false">RANK(U30,$U$6:$U$30,0)</f>
        <v>25</v>
      </c>
      <c r="B30" s="6" t="s">
        <v>334</v>
      </c>
      <c r="C30" s="6" t="s">
        <v>335</v>
      </c>
      <c r="D30" s="6" t="s">
        <v>336</v>
      </c>
      <c r="E30" s="6" t="s">
        <v>337</v>
      </c>
      <c r="F30" s="6" t="s">
        <v>338</v>
      </c>
      <c r="G30" s="6" t="s">
        <v>339</v>
      </c>
      <c r="H30" s="6" t="s">
        <v>203</v>
      </c>
      <c r="I30" s="6" t="s">
        <v>204</v>
      </c>
      <c r="J30" s="6" t="s">
        <v>230</v>
      </c>
      <c r="K30" s="6" t="s">
        <v>309</v>
      </c>
      <c r="L30" s="6" t="s">
        <v>340</v>
      </c>
      <c r="M30" s="6" t="s">
        <v>207</v>
      </c>
      <c r="N30" s="6" t="s">
        <v>243</v>
      </c>
      <c r="O30" s="6" t="s">
        <v>233</v>
      </c>
      <c r="P30" s="7" t="n">
        <v>2</v>
      </c>
      <c r="Q30" s="7" t="n">
        <v>3</v>
      </c>
      <c r="R30" s="7" t="n">
        <v>2</v>
      </c>
      <c r="S30" s="7" t="n">
        <v>4</v>
      </c>
      <c r="T30" s="7" t="n">
        <v>3</v>
      </c>
      <c r="U30" s="6" t="n">
        <f aca="false">ROUND(SUMPRODUCT(P30:T30,$P$3:$T$3),2)</f>
        <v>2.65</v>
      </c>
      <c r="V30" s="6" t="s">
        <v>43</v>
      </c>
      <c r="W30" s="6" t="s">
        <v>322</v>
      </c>
      <c r="X30" s="6" t="s">
        <v>341</v>
      </c>
      <c r="Y30" s="6" t="s">
        <v>183</v>
      </c>
    </row>
    <row r="32" customFormat="false" ht="15" hidden="false" customHeight="false" outlineLevel="0" collapsed="false">
      <c r="B32" s="3" t="s">
        <v>342</v>
      </c>
    </row>
    <row r="33" customFormat="false" ht="15" hidden="false" customHeight="false" outlineLevel="0" collapsed="false">
      <c r="B33" s="8" t="s">
        <v>343</v>
      </c>
      <c r="D33" s="8" t="s">
        <v>344</v>
      </c>
    </row>
    <row r="34" customFormat="false" ht="15" hidden="false" customHeight="false" outlineLevel="0" collapsed="false">
      <c r="B34" s="8" t="s">
        <v>345</v>
      </c>
      <c r="D34" s="8" t="s">
        <v>346</v>
      </c>
    </row>
  </sheetData>
  <autoFilter ref="A5:Y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36"/>
    <col collapsed="false" customWidth="true" hidden="false" outlineLevel="0" max="10" min="10" style="0" width="40"/>
    <col collapsed="false" customWidth="true" hidden="false" outlineLevel="0" max="12" min="11" style="0" width="34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1" t="s">
        <v>347</v>
      </c>
    </row>
    <row r="2" customFormat="false" ht="15" hidden="false" customHeight="false" outlineLevel="0" collapsed="false">
      <c r="A2" s="2" t="s">
        <v>348</v>
      </c>
    </row>
    <row r="5" customFormat="false" ht="42" hidden="false" customHeight="true" outlineLevel="0" collapsed="false">
      <c r="A5" s="5" t="s">
        <v>5</v>
      </c>
      <c r="B5" s="5" t="s">
        <v>6</v>
      </c>
      <c r="C5" s="5" t="s">
        <v>349</v>
      </c>
      <c r="D5" s="5" t="s">
        <v>350</v>
      </c>
      <c r="E5" s="5" t="s">
        <v>351</v>
      </c>
      <c r="F5" s="5" t="s">
        <v>352</v>
      </c>
      <c r="G5" s="5" t="s">
        <v>353</v>
      </c>
      <c r="H5" s="5" t="s">
        <v>354</v>
      </c>
      <c r="I5" s="5" t="s">
        <v>355</v>
      </c>
      <c r="J5" s="5" t="s">
        <v>356</v>
      </c>
      <c r="K5" s="5" t="s">
        <v>357</v>
      </c>
      <c r="L5" s="5" t="s">
        <v>358</v>
      </c>
      <c r="M5" s="5" t="s">
        <v>359</v>
      </c>
    </row>
    <row r="6" customFormat="false" ht="15" hidden="false" customHeight="false" outlineLevel="0" collapsed="false">
      <c r="A6" s="6" t="s">
        <v>29</v>
      </c>
      <c r="B6" s="9" t="str">
        <f aca="false">INDEX('Website Research'!$C$6:$C$30,MATCH(A6,'Website Research'!$B$6:$B$30,0))</f>
        <v>Clutch</v>
      </c>
      <c r="C6" s="6" t="s">
        <v>46</v>
      </c>
      <c r="D6" s="6" t="s">
        <v>66</v>
      </c>
      <c r="E6" s="6" t="s">
        <v>360</v>
      </c>
      <c r="F6" s="10" t="s">
        <v>361</v>
      </c>
      <c r="G6" s="10"/>
      <c r="H6" s="10"/>
      <c r="I6" s="10"/>
      <c r="J6" s="10"/>
      <c r="K6" s="10"/>
      <c r="L6" s="10"/>
      <c r="M6" s="10"/>
    </row>
    <row r="7" customFormat="false" ht="15" hidden="false" customHeight="false" outlineLevel="0" collapsed="false">
      <c r="A7" s="6" t="s">
        <v>47</v>
      </c>
      <c r="B7" s="9" t="str">
        <f aca="false">INDEX('Website Research'!$C$6:$C$30,MATCH(A7,'Website Research'!$B$6:$B$30,0))</f>
        <v>TechBehemoths</v>
      </c>
      <c r="C7" s="6" t="s">
        <v>58</v>
      </c>
      <c r="D7" s="6" t="s">
        <v>66</v>
      </c>
      <c r="E7" s="6" t="s">
        <v>360</v>
      </c>
      <c r="F7" s="10" t="s">
        <v>361</v>
      </c>
      <c r="G7" s="10"/>
      <c r="H7" s="10"/>
      <c r="I7" s="10"/>
      <c r="J7" s="10"/>
      <c r="K7" s="10"/>
      <c r="L7" s="10"/>
      <c r="M7" s="10"/>
    </row>
    <row r="8" customFormat="false" ht="15" hidden="false" customHeight="false" outlineLevel="0" collapsed="false">
      <c r="A8" s="6" t="s">
        <v>59</v>
      </c>
      <c r="B8" s="9" t="str">
        <f aca="false">INDEX('Website Research'!$C$6:$C$30,MATCH(A8,'Website Research'!$B$6:$B$30,0))</f>
        <v>LinkedIn Company Page</v>
      </c>
      <c r="C8" s="6" t="s">
        <v>74</v>
      </c>
      <c r="D8" s="6" t="s">
        <v>66</v>
      </c>
      <c r="E8" s="6" t="s">
        <v>362</v>
      </c>
      <c r="F8" s="10" t="s">
        <v>361</v>
      </c>
      <c r="G8" s="10"/>
      <c r="H8" s="10"/>
      <c r="I8" s="10"/>
      <c r="J8" s="10"/>
      <c r="K8" s="10"/>
      <c r="L8" s="10"/>
      <c r="M8" s="10"/>
    </row>
    <row r="9" customFormat="false" ht="15" hidden="false" customHeight="false" outlineLevel="0" collapsed="false">
      <c r="A9" s="6" t="s">
        <v>75</v>
      </c>
      <c r="B9" s="9" t="str">
        <f aca="false">INDEX('Website Research'!$C$6:$C$30,MATCH(A9,'Website Research'!$B$6:$B$30,0))</f>
        <v>GoodFirms</v>
      </c>
      <c r="C9" s="6" t="s">
        <v>88</v>
      </c>
      <c r="D9" s="6" t="s">
        <v>66</v>
      </c>
      <c r="E9" s="6" t="s">
        <v>360</v>
      </c>
      <c r="F9" s="10" t="s">
        <v>361</v>
      </c>
      <c r="G9" s="10"/>
      <c r="H9" s="10"/>
      <c r="I9" s="10"/>
      <c r="J9" s="10"/>
      <c r="K9" s="10"/>
      <c r="L9" s="10"/>
      <c r="M9" s="10"/>
    </row>
    <row r="10" customFormat="false" ht="15" hidden="false" customHeight="false" outlineLevel="0" collapsed="false">
      <c r="A10" s="6" t="s">
        <v>89</v>
      </c>
      <c r="B10" s="9" t="str">
        <f aca="false">INDEX('Website Research'!$C$6:$C$30,MATCH(A10,'Website Research'!$B$6:$B$30,0))</f>
        <v>DZone</v>
      </c>
      <c r="C10" s="6" t="s">
        <v>101</v>
      </c>
      <c r="D10" s="6" t="s">
        <v>363</v>
      </c>
      <c r="E10" s="6" t="s">
        <v>360</v>
      </c>
      <c r="F10" s="10" t="s">
        <v>361</v>
      </c>
      <c r="G10" s="10"/>
      <c r="H10" s="10"/>
      <c r="I10" s="10"/>
      <c r="J10" s="10"/>
      <c r="K10" s="10"/>
      <c r="L10" s="10"/>
      <c r="M10" s="10"/>
    </row>
    <row r="11" customFormat="false" ht="15" hidden="false" customHeight="false" outlineLevel="0" collapsed="false">
      <c r="A11" s="6" t="s">
        <v>102</v>
      </c>
      <c r="B11" s="9" t="str">
        <f aca="false">INDEX('Website Research'!$C$6:$C$30,MATCH(A11,'Website Research'!$B$6:$B$30,0))</f>
        <v>GitHub (TechAbout organisation)</v>
      </c>
      <c r="C11" s="6" t="s">
        <v>74</v>
      </c>
      <c r="D11" s="6" t="s">
        <v>66</v>
      </c>
      <c r="E11" s="6" t="s">
        <v>362</v>
      </c>
      <c r="F11" s="10" t="s">
        <v>361</v>
      </c>
      <c r="G11" s="10"/>
      <c r="H11" s="10"/>
      <c r="I11" s="10"/>
      <c r="J11" s="10"/>
      <c r="K11" s="10"/>
      <c r="L11" s="10"/>
      <c r="M11" s="10"/>
    </row>
    <row r="12" customFormat="false" ht="23.85" hidden="false" customHeight="false" outlineLevel="0" collapsed="false">
      <c r="A12" s="6" t="s">
        <v>114</v>
      </c>
      <c r="B12" s="9" t="str">
        <f aca="false">INDEX('Website Research'!$C$6:$C$30,MATCH(A12,'Website Research'!$B$6:$B$30,0))</f>
        <v>Hashnode</v>
      </c>
      <c r="C12" s="6" t="s">
        <v>128</v>
      </c>
      <c r="D12" s="6" t="s">
        <v>364</v>
      </c>
      <c r="E12" s="6" t="s">
        <v>365</v>
      </c>
      <c r="F12" s="10" t="s">
        <v>361</v>
      </c>
      <c r="G12" s="10"/>
      <c r="H12" s="10"/>
      <c r="I12" s="10"/>
      <c r="J12" s="10"/>
      <c r="K12" s="10"/>
      <c r="L12" s="10"/>
      <c r="M12" s="10"/>
    </row>
    <row r="13" customFormat="false" ht="23.85" hidden="false" customHeight="false" outlineLevel="0" collapsed="false">
      <c r="A13" s="6" t="s">
        <v>129</v>
      </c>
      <c r="B13" s="9" t="str">
        <f aca="false">INDEX('Website Research'!$C$6:$C$30,MATCH(A13,'Website Research'!$B$6:$B$30,0))</f>
        <v>HackerNoon</v>
      </c>
      <c r="C13" s="6" t="s">
        <v>143</v>
      </c>
      <c r="D13" s="6" t="s">
        <v>366</v>
      </c>
      <c r="E13" s="6" t="s">
        <v>360</v>
      </c>
      <c r="F13" s="10" t="s">
        <v>361</v>
      </c>
      <c r="G13" s="10"/>
      <c r="H13" s="10"/>
      <c r="I13" s="10"/>
      <c r="J13" s="10"/>
      <c r="K13" s="10"/>
      <c r="L13" s="10"/>
      <c r="M13" s="10"/>
    </row>
    <row r="14" customFormat="false" ht="15" hidden="false" customHeight="false" outlineLevel="0" collapsed="false">
      <c r="A14" s="6" t="s">
        <v>144</v>
      </c>
      <c r="B14" s="9" t="str">
        <f aca="false">INDEX('Website Research'!$C$6:$C$30,MATCH(A14,'Website Research'!$B$6:$B$30,0))</f>
        <v>DesignRush</v>
      </c>
      <c r="C14" s="6" t="s">
        <v>157</v>
      </c>
      <c r="D14" s="6" t="s">
        <v>66</v>
      </c>
      <c r="E14" s="6" t="s">
        <v>360</v>
      </c>
      <c r="F14" s="10" t="s">
        <v>361</v>
      </c>
      <c r="G14" s="10"/>
      <c r="H14" s="10"/>
      <c r="I14" s="10"/>
      <c r="J14" s="10"/>
      <c r="K14" s="10"/>
      <c r="L14" s="10"/>
      <c r="M14" s="10"/>
    </row>
    <row r="15" customFormat="false" ht="15" hidden="false" customHeight="false" outlineLevel="0" collapsed="false">
      <c r="A15" s="6" t="s">
        <v>158</v>
      </c>
      <c r="B15" s="9" t="str">
        <f aca="false">INDEX('Website Research'!$C$6:$C$30,MATCH(A15,'Website Research'!$B$6:$B$30,0))</f>
        <v>The Manifest</v>
      </c>
      <c r="C15" s="6" t="s">
        <v>170</v>
      </c>
      <c r="D15" s="6" t="s">
        <v>66</v>
      </c>
      <c r="E15" s="6" t="s">
        <v>360</v>
      </c>
      <c r="F15" s="10" t="s">
        <v>361</v>
      </c>
      <c r="G15" s="10"/>
      <c r="H15" s="10"/>
      <c r="I15" s="10"/>
      <c r="J15" s="10"/>
      <c r="K15" s="10"/>
      <c r="L15" s="10"/>
      <c r="M15" s="10"/>
    </row>
    <row r="16" customFormat="false" ht="15" hidden="false" customHeight="false" outlineLevel="0" collapsed="false">
      <c r="A16" s="6" t="s">
        <v>171</v>
      </c>
      <c r="B16" s="9" t="str">
        <f aca="false">INDEX('Website Research'!$C$6:$C$30,MATCH(A16,'Website Research'!$B$6:$B$30,0))</f>
        <v>Crunchbase</v>
      </c>
      <c r="C16" s="6" t="s">
        <v>183</v>
      </c>
      <c r="D16" s="6" t="s">
        <v>66</v>
      </c>
      <c r="E16" s="6" t="s">
        <v>360</v>
      </c>
      <c r="F16" s="10" t="s">
        <v>361</v>
      </c>
      <c r="G16" s="10"/>
      <c r="H16" s="10"/>
      <c r="I16" s="10"/>
      <c r="J16" s="10"/>
      <c r="K16" s="10"/>
      <c r="L16" s="10"/>
      <c r="M16" s="10"/>
    </row>
    <row r="17" customFormat="false" ht="23.85" hidden="false" customHeight="false" outlineLevel="0" collapsed="false">
      <c r="A17" s="6" t="s">
        <v>184</v>
      </c>
      <c r="B17" s="9" t="str">
        <f aca="false">INDEX('Website Research'!$C$6:$C$30,MATCH(A17,'Website Research'!$B$6:$B$30,0))</f>
        <v>Compare the Cloud (Directory)</v>
      </c>
      <c r="C17" s="6" t="s">
        <v>196</v>
      </c>
      <c r="D17" s="6" t="s">
        <v>364</v>
      </c>
      <c r="E17" s="6" t="s">
        <v>360</v>
      </c>
      <c r="F17" s="10" t="s">
        <v>361</v>
      </c>
      <c r="G17" s="10"/>
      <c r="H17" s="10"/>
      <c r="I17" s="10"/>
      <c r="J17" s="10"/>
      <c r="K17" s="10"/>
      <c r="L17" s="10"/>
      <c r="M17" s="10"/>
    </row>
    <row r="18" customFormat="false" ht="23.85" hidden="false" customHeight="false" outlineLevel="0" collapsed="false">
      <c r="A18" s="6" t="s">
        <v>197</v>
      </c>
      <c r="B18" s="9" t="str">
        <f aca="false">INDEX('Website Research'!$C$6:$C$30,MATCH(A18,'Website Research'!$B$6:$B$30,0))</f>
        <v>DEV Community (dev.to)</v>
      </c>
      <c r="C18" s="6" t="s">
        <v>211</v>
      </c>
      <c r="D18" s="6" t="s">
        <v>367</v>
      </c>
      <c r="E18" s="6" t="s">
        <v>368</v>
      </c>
      <c r="F18" s="10" t="s">
        <v>361</v>
      </c>
      <c r="G18" s="10"/>
      <c r="H18" s="10"/>
      <c r="I18" s="10"/>
      <c r="J18" s="10"/>
      <c r="K18" s="10"/>
      <c r="L18" s="10"/>
      <c r="M18" s="10"/>
    </row>
    <row r="19" customFormat="false" ht="15" hidden="false" customHeight="false" outlineLevel="0" collapsed="false">
      <c r="A19" s="6" t="s">
        <v>212</v>
      </c>
      <c r="B19" s="9" t="str">
        <f aca="false">INDEX('Website Research'!$C$6:$C$30,MATCH(A19,'Website Research'!$B$6:$B$30,0))</f>
        <v>Wellfound</v>
      </c>
      <c r="C19" s="6" t="s">
        <v>183</v>
      </c>
      <c r="D19" s="6" t="s">
        <v>66</v>
      </c>
      <c r="E19" s="6" t="s">
        <v>360</v>
      </c>
      <c r="F19" s="10" t="s">
        <v>361</v>
      </c>
      <c r="G19" s="10"/>
      <c r="H19" s="10"/>
      <c r="I19" s="10"/>
      <c r="J19" s="10"/>
      <c r="K19" s="10"/>
      <c r="L19" s="10"/>
      <c r="M19" s="10"/>
    </row>
    <row r="20" customFormat="false" ht="15" hidden="false" customHeight="false" outlineLevel="0" collapsed="false">
      <c r="A20" s="6" t="s">
        <v>224</v>
      </c>
      <c r="B20" s="9" t="str">
        <f aca="false">INDEX('Website Research'!$C$6:$C$30,MATCH(A20,'Website Research'!$B$6:$B$30,0))</f>
        <v>Medium</v>
      </c>
      <c r="C20" s="6" t="s">
        <v>183</v>
      </c>
      <c r="D20" s="6" t="s">
        <v>66</v>
      </c>
      <c r="E20" s="6" t="s">
        <v>360</v>
      </c>
      <c r="F20" s="10" t="s">
        <v>361</v>
      </c>
      <c r="G20" s="10"/>
      <c r="H20" s="10"/>
      <c r="I20" s="10"/>
      <c r="J20" s="10"/>
      <c r="K20" s="10"/>
      <c r="L20" s="10"/>
      <c r="M20" s="10"/>
    </row>
    <row r="21" customFormat="false" ht="15" hidden="false" customHeight="false" outlineLevel="0" collapsed="false">
      <c r="A21" s="6" t="s">
        <v>236</v>
      </c>
      <c r="B21" s="9" t="str">
        <f aca="false">INDEX('Website Research'!$C$6:$C$30,MATCH(A21,'Website Research'!$B$6:$B$30,0))</f>
        <v>Bing Places for Business</v>
      </c>
      <c r="C21" s="6" t="s">
        <v>183</v>
      </c>
      <c r="D21" s="6" t="s">
        <v>66</v>
      </c>
      <c r="E21" s="6" t="s">
        <v>362</v>
      </c>
      <c r="F21" s="10" t="s">
        <v>361</v>
      </c>
      <c r="G21" s="10"/>
      <c r="H21" s="10"/>
      <c r="I21" s="10"/>
      <c r="J21" s="10"/>
      <c r="K21" s="10"/>
      <c r="L21" s="10"/>
      <c r="M21" s="10"/>
    </row>
    <row r="22" customFormat="false" ht="15" hidden="false" customHeight="false" outlineLevel="0" collapsed="false">
      <c r="A22" s="6" t="s">
        <v>247</v>
      </c>
      <c r="B22" s="9" t="str">
        <f aca="false">INDEX('Website Research'!$C$6:$C$30,MATCH(A22,'Website Research'!$B$6:$B$30,0))</f>
        <v>Product Hunt</v>
      </c>
      <c r="C22" s="6" t="s">
        <v>183</v>
      </c>
      <c r="D22" s="6" t="s">
        <v>369</v>
      </c>
      <c r="E22" s="6" t="s">
        <v>370</v>
      </c>
      <c r="F22" s="10" t="s">
        <v>361</v>
      </c>
      <c r="G22" s="10"/>
      <c r="H22" s="10"/>
      <c r="I22" s="10"/>
      <c r="J22" s="10"/>
      <c r="K22" s="10"/>
      <c r="L22" s="10"/>
      <c r="M22" s="10"/>
    </row>
    <row r="23" customFormat="false" ht="15" hidden="false" customHeight="false" outlineLevel="0" collapsed="false">
      <c r="A23" s="6" t="s">
        <v>259</v>
      </c>
      <c r="B23" s="9" t="str">
        <f aca="false">INDEX('Website Research'!$C$6:$C$30,MATCH(A23,'Website Research'!$B$6:$B$30,0))</f>
        <v>Sortlist</v>
      </c>
      <c r="C23" s="6" t="s">
        <v>183</v>
      </c>
      <c r="D23" s="6" t="s">
        <v>66</v>
      </c>
      <c r="E23" s="6" t="s">
        <v>360</v>
      </c>
      <c r="F23" s="10" t="s">
        <v>361</v>
      </c>
      <c r="G23" s="10"/>
      <c r="H23" s="10"/>
      <c r="I23" s="10"/>
      <c r="J23" s="10"/>
      <c r="K23" s="10"/>
      <c r="L23" s="10"/>
      <c r="M23" s="10"/>
    </row>
    <row r="24" customFormat="false" ht="15" hidden="false" customHeight="false" outlineLevel="0" collapsed="false">
      <c r="A24" s="6" t="s">
        <v>270</v>
      </c>
      <c r="B24" s="9" t="str">
        <f aca="false">INDEX('Website Research'!$C$6:$C$30,MATCH(A24,'Website Research'!$B$6:$B$30,0))</f>
        <v>SaaSHub</v>
      </c>
      <c r="C24" s="6" t="s">
        <v>183</v>
      </c>
      <c r="D24" s="6" t="s">
        <v>369</v>
      </c>
      <c r="E24" s="6" t="s">
        <v>370</v>
      </c>
      <c r="F24" s="10" t="s">
        <v>361</v>
      </c>
      <c r="G24" s="10"/>
      <c r="H24" s="10"/>
      <c r="I24" s="10"/>
      <c r="J24" s="10"/>
      <c r="K24" s="10"/>
      <c r="L24" s="10"/>
      <c r="M24" s="10"/>
    </row>
    <row r="25" customFormat="false" ht="15" hidden="false" customHeight="false" outlineLevel="0" collapsed="false">
      <c r="A25" s="6" t="s">
        <v>284</v>
      </c>
      <c r="B25" s="9" t="str">
        <f aca="false">INDEX('Website Research'!$C$6:$C$30,MATCH(A25,'Website Research'!$B$6:$B$30,0))</f>
        <v>AlternativeTo</v>
      </c>
      <c r="C25" s="6" t="s">
        <v>183</v>
      </c>
      <c r="D25" s="6" t="s">
        <v>369</v>
      </c>
      <c r="E25" s="6" t="s">
        <v>370</v>
      </c>
      <c r="F25" s="10" t="s">
        <v>361</v>
      </c>
      <c r="G25" s="10"/>
      <c r="H25" s="10"/>
      <c r="I25" s="10"/>
      <c r="J25" s="10"/>
      <c r="K25" s="10"/>
      <c r="L25" s="10"/>
      <c r="M25" s="10"/>
    </row>
    <row r="26" customFormat="false" ht="15" hidden="false" customHeight="false" outlineLevel="0" collapsed="false">
      <c r="A26" s="6" t="s">
        <v>294</v>
      </c>
      <c r="B26" s="9" t="str">
        <f aca="false">INDEX('Website Research'!$C$6:$C$30,MATCH(A26,'Website Research'!$B$6:$B$30,0))</f>
        <v>Google Business Profile</v>
      </c>
      <c r="C26" s="6" t="s">
        <v>183</v>
      </c>
      <c r="D26" s="6" t="s">
        <v>66</v>
      </c>
      <c r="E26" s="6" t="s">
        <v>362</v>
      </c>
      <c r="F26" s="10" t="s">
        <v>361</v>
      </c>
      <c r="G26" s="10"/>
      <c r="H26" s="10"/>
      <c r="I26" s="10"/>
      <c r="J26" s="10"/>
      <c r="K26" s="10"/>
      <c r="L26" s="10"/>
      <c r="M26" s="10"/>
    </row>
    <row r="27" customFormat="false" ht="15" hidden="false" customHeight="false" outlineLevel="0" collapsed="false">
      <c r="A27" s="6" t="s">
        <v>304</v>
      </c>
      <c r="B27" s="9" t="str">
        <f aca="false">INDEX('Website Research'!$C$6:$C$30,MATCH(A27,'Website Research'!$B$6:$B$30,0))</f>
        <v>SourceForge (business listing)</v>
      </c>
      <c r="C27" s="6" t="s">
        <v>183</v>
      </c>
      <c r="D27" s="6" t="s">
        <v>66</v>
      </c>
      <c r="E27" s="6" t="s">
        <v>360</v>
      </c>
      <c r="F27" s="10" t="s">
        <v>361</v>
      </c>
      <c r="G27" s="10"/>
      <c r="H27" s="10"/>
      <c r="I27" s="10"/>
      <c r="J27" s="10"/>
      <c r="K27" s="10"/>
      <c r="L27" s="10"/>
      <c r="M27" s="10"/>
    </row>
    <row r="28" customFormat="false" ht="15" hidden="false" customHeight="false" outlineLevel="0" collapsed="false">
      <c r="A28" s="6" t="s">
        <v>314</v>
      </c>
      <c r="B28" s="9" t="str">
        <f aca="false">INDEX('Website Research'!$C$6:$C$30,MATCH(A28,'Website Research'!$B$6:$B$30,0))</f>
        <v>F6S</v>
      </c>
      <c r="C28" s="6" t="s">
        <v>183</v>
      </c>
      <c r="D28" s="6" t="s">
        <v>66</v>
      </c>
      <c r="E28" s="6" t="s">
        <v>360</v>
      </c>
      <c r="F28" s="10" t="s">
        <v>361</v>
      </c>
      <c r="G28" s="10"/>
      <c r="H28" s="10"/>
      <c r="I28" s="10"/>
      <c r="J28" s="10"/>
      <c r="K28" s="10"/>
      <c r="L28" s="10"/>
      <c r="M28" s="10"/>
    </row>
    <row r="29" customFormat="false" ht="15" hidden="false" customHeight="false" outlineLevel="0" collapsed="false">
      <c r="A29" s="6" t="s">
        <v>324</v>
      </c>
      <c r="B29" s="9" t="str">
        <f aca="false">INDEX('Website Research'!$C$6:$C$30,MATCH(A29,'Website Research'!$B$6:$B$30,0))</f>
        <v>TopDevelopers.co</v>
      </c>
      <c r="C29" s="6" t="s">
        <v>183</v>
      </c>
      <c r="D29" s="6" t="s">
        <v>66</v>
      </c>
      <c r="E29" s="6" t="s">
        <v>360</v>
      </c>
      <c r="F29" s="10" t="s">
        <v>361</v>
      </c>
      <c r="G29" s="10"/>
      <c r="H29" s="10"/>
      <c r="I29" s="10"/>
      <c r="J29" s="10"/>
      <c r="K29" s="10"/>
      <c r="L29" s="10"/>
      <c r="M29" s="10"/>
    </row>
    <row r="30" customFormat="false" ht="15" hidden="false" customHeight="false" outlineLevel="0" collapsed="false">
      <c r="A30" s="6" t="s">
        <v>334</v>
      </c>
      <c r="B30" s="9" t="str">
        <f aca="false">INDEX('Website Research'!$C$6:$C$30,MATCH(A30,'Website Research'!$B$6:$B$30,0))</f>
        <v>Indie Hackers</v>
      </c>
      <c r="C30" s="6" t="s">
        <v>183</v>
      </c>
      <c r="D30" s="6" t="s">
        <v>369</v>
      </c>
      <c r="E30" s="6" t="s">
        <v>370</v>
      </c>
      <c r="F30" s="10" t="s">
        <v>361</v>
      </c>
      <c r="G30" s="10"/>
      <c r="H30" s="10"/>
      <c r="I30" s="10"/>
      <c r="J30" s="10"/>
      <c r="K30" s="10"/>
      <c r="L30" s="10"/>
      <c r="M30" s="10"/>
    </row>
  </sheetData>
  <autoFilter ref="A5:M30"/>
  <dataValidations count="1">
    <dataValidation allowBlank="false" errorStyle="stop" operator="between" showDropDown="false" showErrorMessage="false" showInputMessage="false" sqref="F6:F30" type="list">
      <formula1>"Not Started,In Progress,Submitted,Pending Review,Approved/Live,Rejected,Unavailable"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4" min="3" style="0" width="40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24"/>
    <col collapsed="false" customWidth="true" hidden="false" outlineLevel="0" max="10" min="10" style="0" width="14"/>
    <col collapsed="false" customWidth="true" hidden="false" outlineLevel="0" max="11" min="11" style="0" width="34"/>
    <col collapsed="false" customWidth="true" hidden="false" outlineLevel="0" max="12" min="12" style="0" width="40"/>
  </cols>
  <sheetData>
    <row r="1" customFormat="false" ht="17.35" hidden="false" customHeight="false" outlineLevel="0" collapsed="false">
      <c r="A1" s="1" t="s">
        <v>371</v>
      </c>
    </row>
    <row r="2" customFormat="false" ht="15" hidden="false" customHeight="false" outlineLevel="0" collapsed="false">
      <c r="A2" s="2" t="s">
        <v>372</v>
      </c>
    </row>
    <row r="5" customFormat="false" ht="42" hidden="false" customHeight="true" outlineLevel="0" collapsed="false">
      <c r="A5" s="5" t="s">
        <v>5</v>
      </c>
      <c r="B5" s="5" t="s">
        <v>6</v>
      </c>
      <c r="C5" s="5" t="s">
        <v>373</v>
      </c>
      <c r="D5" s="5" t="s">
        <v>374</v>
      </c>
      <c r="E5" s="5" t="s">
        <v>375</v>
      </c>
      <c r="F5" s="5" t="s">
        <v>376</v>
      </c>
      <c r="G5" s="5" t="s">
        <v>377</v>
      </c>
      <c r="H5" s="5" t="s">
        <v>378</v>
      </c>
      <c r="I5" s="5" t="s">
        <v>379</v>
      </c>
      <c r="J5" s="5" t="s">
        <v>25</v>
      </c>
      <c r="K5" s="5" t="s">
        <v>380</v>
      </c>
      <c r="L5" s="5" t="s">
        <v>359</v>
      </c>
    </row>
    <row r="6" customFormat="false" ht="15" hidden="false" customHeight="false" outlineLevel="0" collapsed="false">
      <c r="A6" s="6" t="s">
        <v>29</v>
      </c>
      <c r="B6" s="9" t="str">
        <f aca="false">INDEX('Website Research'!$C$6:$C$30,MATCH(A6,'Website Research'!$B$6:$B$30,0))</f>
        <v>Clutch</v>
      </c>
      <c r="C6" s="9" t="str">
        <f aca="false">IF(INDEX('Submission Tracker'!$J$6:$J$30,MATCH(A6,'Submission Tracker'!$A$6:$A$30,0))="","",INDEX('Submission Tracker'!$J$6:$J$30,MATCH(A6,'Submission Tracker'!$A$6:$A$30,0)))</f>
        <v/>
      </c>
      <c r="D6" s="10"/>
      <c r="E6" s="10"/>
      <c r="F6" s="10"/>
      <c r="G6" s="10"/>
      <c r="H6" s="10"/>
      <c r="I6" s="6" t="str">
        <f aca="false">IF(C6="","Not published",IF(OR(H6="",H6="cannot inspect",F6&lt;&gt;"Yes"),"Unverified",IF(H6="none","Confirmed do-follow","No-follow or qualified")))</f>
        <v>Not published</v>
      </c>
      <c r="J6" s="10"/>
      <c r="K6" s="10"/>
      <c r="L6" s="10"/>
    </row>
    <row r="7" customFormat="false" ht="15" hidden="false" customHeight="false" outlineLevel="0" collapsed="false">
      <c r="A7" s="6" t="s">
        <v>47</v>
      </c>
      <c r="B7" s="9" t="str">
        <f aca="false">INDEX('Website Research'!$C$6:$C$30,MATCH(A7,'Website Research'!$B$6:$B$30,0))</f>
        <v>TechBehemoths</v>
      </c>
      <c r="C7" s="9" t="str">
        <f aca="false">IF(INDEX('Submission Tracker'!$J$6:$J$30,MATCH(A7,'Submission Tracker'!$A$6:$A$30,0))="","",INDEX('Submission Tracker'!$J$6:$J$30,MATCH(A7,'Submission Tracker'!$A$6:$A$30,0)))</f>
        <v/>
      </c>
      <c r="D7" s="10"/>
      <c r="E7" s="10"/>
      <c r="F7" s="10"/>
      <c r="G7" s="10"/>
      <c r="H7" s="10"/>
      <c r="I7" s="6" t="str">
        <f aca="false">IF(C7="","Not published",IF(OR(H7="",H7="cannot inspect",F7&lt;&gt;"Yes"),"Unverified",IF(H7="none","Confirmed do-follow","No-follow or qualified")))</f>
        <v>Not published</v>
      </c>
      <c r="J7" s="10"/>
      <c r="K7" s="10"/>
      <c r="L7" s="10"/>
    </row>
    <row r="8" customFormat="false" ht="15" hidden="false" customHeight="false" outlineLevel="0" collapsed="false">
      <c r="A8" s="6" t="s">
        <v>59</v>
      </c>
      <c r="B8" s="9" t="str">
        <f aca="false">INDEX('Website Research'!$C$6:$C$30,MATCH(A8,'Website Research'!$B$6:$B$30,0))</f>
        <v>LinkedIn Company Page</v>
      </c>
      <c r="C8" s="9" t="str">
        <f aca="false">IF(INDEX('Submission Tracker'!$J$6:$J$30,MATCH(A8,'Submission Tracker'!$A$6:$A$30,0))="","",INDEX('Submission Tracker'!$J$6:$J$30,MATCH(A8,'Submission Tracker'!$A$6:$A$30,0)))</f>
        <v/>
      </c>
      <c r="D8" s="10"/>
      <c r="E8" s="10"/>
      <c r="F8" s="10"/>
      <c r="G8" s="10"/>
      <c r="H8" s="10"/>
      <c r="I8" s="6" t="str">
        <f aca="false">IF(C8="","Not published",IF(OR(H8="",H8="cannot inspect",F8&lt;&gt;"Yes"),"Unverified",IF(H8="none","Confirmed do-follow","No-follow or qualified")))</f>
        <v>Not published</v>
      </c>
      <c r="J8" s="10"/>
      <c r="K8" s="10"/>
      <c r="L8" s="10"/>
    </row>
    <row r="9" customFormat="false" ht="15" hidden="false" customHeight="false" outlineLevel="0" collapsed="false">
      <c r="A9" s="6" t="s">
        <v>75</v>
      </c>
      <c r="B9" s="9" t="str">
        <f aca="false">INDEX('Website Research'!$C$6:$C$30,MATCH(A9,'Website Research'!$B$6:$B$30,0))</f>
        <v>GoodFirms</v>
      </c>
      <c r="C9" s="9" t="str">
        <f aca="false">IF(INDEX('Submission Tracker'!$J$6:$J$30,MATCH(A9,'Submission Tracker'!$A$6:$A$30,0))="","",INDEX('Submission Tracker'!$J$6:$J$30,MATCH(A9,'Submission Tracker'!$A$6:$A$30,0)))</f>
        <v/>
      </c>
      <c r="D9" s="10"/>
      <c r="E9" s="10"/>
      <c r="F9" s="10"/>
      <c r="G9" s="10"/>
      <c r="H9" s="10"/>
      <c r="I9" s="6" t="str">
        <f aca="false">IF(C9="","Not published",IF(OR(H9="",H9="cannot inspect",F9&lt;&gt;"Yes"),"Unverified",IF(H9="none","Confirmed do-follow","No-follow or qualified")))</f>
        <v>Not published</v>
      </c>
      <c r="J9" s="10"/>
      <c r="K9" s="10"/>
      <c r="L9" s="10"/>
    </row>
    <row r="10" customFormat="false" ht="15" hidden="false" customHeight="false" outlineLevel="0" collapsed="false">
      <c r="A10" s="6" t="s">
        <v>89</v>
      </c>
      <c r="B10" s="9" t="str">
        <f aca="false">INDEX('Website Research'!$C$6:$C$30,MATCH(A10,'Website Research'!$B$6:$B$30,0))</f>
        <v>DZone</v>
      </c>
      <c r="C10" s="9" t="str">
        <f aca="false">IF(INDEX('Submission Tracker'!$J$6:$J$30,MATCH(A10,'Submission Tracker'!$A$6:$A$30,0))="","",INDEX('Submission Tracker'!$J$6:$J$30,MATCH(A10,'Submission Tracker'!$A$6:$A$30,0)))</f>
        <v/>
      </c>
      <c r="D10" s="10"/>
      <c r="E10" s="10"/>
      <c r="F10" s="10"/>
      <c r="G10" s="10"/>
      <c r="H10" s="10"/>
      <c r="I10" s="6" t="str">
        <f aca="false">IF(C10="","Not published",IF(OR(H10="",H10="cannot inspect",F10&lt;&gt;"Yes"),"Unverified",IF(H10="none","Confirmed do-follow","No-follow or qualified")))</f>
        <v>Not published</v>
      </c>
      <c r="J10" s="10"/>
      <c r="K10" s="10"/>
      <c r="L10" s="10"/>
    </row>
    <row r="11" customFormat="false" ht="15" hidden="false" customHeight="false" outlineLevel="0" collapsed="false">
      <c r="A11" s="6" t="s">
        <v>102</v>
      </c>
      <c r="B11" s="9" t="str">
        <f aca="false">INDEX('Website Research'!$C$6:$C$30,MATCH(A11,'Website Research'!$B$6:$B$30,0))</f>
        <v>GitHub (TechAbout organisation)</v>
      </c>
      <c r="C11" s="9" t="str">
        <f aca="false">IF(INDEX('Submission Tracker'!$J$6:$J$30,MATCH(A11,'Submission Tracker'!$A$6:$A$30,0))="","",INDEX('Submission Tracker'!$J$6:$J$30,MATCH(A11,'Submission Tracker'!$A$6:$A$30,0)))</f>
        <v/>
      </c>
      <c r="D11" s="10"/>
      <c r="E11" s="10"/>
      <c r="F11" s="10"/>
      <c r="G11" s="10"/>
      <c r="H11" s="10"/>
      <c r="I11" s="6" t="str">
        <f aca="false">IF(C11="","Not published",IF(OR(H11="",H11="cannot inspect",F11&lt;&gt;"Yes"),"Unverified",IF(H11="none","Confirmed do-follow","No-follow or qualified")))</f>
        <v>Not published</v>
      </c>
      <c r="J11" s="10"/>
      <c r="K11" s="10"/>
      <c r="L11" s="10"/>
    </row>
    <row r="12" customFormat="false" ht="15" hidden="false" customHeight="false" outlineLevel="0" collapsed="false">
      <c r="A12" s="6" t="s">
        <v>114</v>
      </c>
      <c r="B12" s="9" t="str">
        <f aca="false">INDEX('Website Research'!$C$6:$C$30,MATCH(A12,'Website Research'!$B$6:$B$30,0))</f>
        <v>Hashnode</v>
      </c>
      <c r="C12" s="9" t="str">
        <f aca="false">IF(INDEX('Submission Tracker'!$J$6:$J$30,MATCH(A12,'Submission Tracker'!$A$6:$A$30,0))="","",INDEX('Submission Tracker'!$J$6:$J$30,MATCH(A12,'Submission Tracker'!$A$6:$A$30,0)))</f>
        <v/>
      </c>
      <c r="D12" s="10"/>
      <c r="E12" s="10"/>
      <c r="F12" s="10"/>
      <c r="G12" s="10"/>
      <c r="H12" s="10"/>
      <c r="I12" s="6" t="str">
        <f aca="false">IF(C12="","Not published",IF(OR(H12="",H12="cannot inspect",F12&lt;&gt;"Yes"),"Unverified",IF(H12="none","Confirmed do-follow","No-follow or qualified")))</f>
        <v>Not published</v>
      </c>
      <c r="J12" s="10"/>
      <c r="K12" s="10"/>
      <c r="L12" s="10"/>
    </row>
    <row r="13" customFormat="false" ht="15" hidden="false" customHeight="false" outlineLevel="0" collapsed="false">
      <c r="A13" s="6" t="s">
        <v>129</v>
      </c>
      <c r="B13" s="9" t="str">
        <f aca="false">INDEX('Website Research'!$C$6:$C$30,MATCH(A13,'Website Research'!$B$6:$B$30,0))</f>
        <v>HackerNoon</v>
      </c>
      <c r="C13" s="9" t="str">
        <f aca="false">IF(INDEX('Submission Tracker'!$J$6:$J$30,MATCH(A13,'Submission Tracker'!$A$6:$A$30,0))="","",INDEX('Submission Tracker'!$J$6:$J$30,MATCH(A13,'Submission Tracker'!$A$6:$A$30,0)))</f>
        <v/>
      </c>
      <c r="D13" s="10"/>
      <c r="E13" s="10"/>
      <c r="F13" s="10"/>
      <c r="G13" s="10"/>
      <c r="H13" s="10"/>
      <c r="I13" s="6" t="str">
        <f aca="false">IF(C13="","Not published",IF(OR(H13="",H13="cannot inspect",F13&lt;&gt;"Yes"),"Unverified",IF(H13="none","Confirmed do-follow","No-follow or qualified")))</f>
        <v>Not published</v>
      </c>
      <c r="J13" s="10"/>
      <c r="K13" s="10"/>
      <c r="L13" s="10"/>
    </row>
    <row r="14" customFormat="false" ht="15" hidden="false" customHeight="false" outlineLevel="0" collapsed="false">
      <c r="A14" s="6" t="s">
        <v>144</v>
      </c>
      <c r="B14" s="9" t="str">
        <f aca="false">INDEX('Website Research'!$C$6:$C$30,MATCH(A14,'Website Research'!$B$6:$B$30,0))</f>
        <v>DesignRush</v>
      </c>
      <c r="C14" s="9" t="str">
        <f aca="false">IF(INDEX('Submission Tracker'!$J$6:$J$30,MATCH(A14,'Submission Tracker'!$A$6:$A$30,0))="","",INDEX('Submission Tracker'!$J$6:$J$30,MATCH(A14,'Submission Tracker'!$A$6:$A$30,0)))</f>
        <v/>
      </c>
      <c r="D14" s="10"/>
      <c r="E14" s="10"/>
      <c r="F14" s="10"/>
      <c r="G14" s="10"/>
      <c r="H14" s="10"/>
      <c r="I14" s="6" t="str">
        <f aca="false">IF(C14="","Not published",IF(OR(H14="",H14="cannot inspect",F14&lt;&gt;"Yes"),"Unverified",IF(H14="none","Confirmed do-follow","No-follow or qualified")))</f>
        <v>Not published</v>
      </c>
      <c r="J14" s="10"/>
      <c r="K14" s="10"/>
      <c r="L14" s="10"/>
    </row>
    <row r="15" customFormat="false" ht="15" hidden="false" customHeight="false" outlineLevel="0" collapsed="false">
      <c r="A15" s="6" t="s">
        <v>158</v>
      </c>
      <c r="B15" s="9" t="str">
        <f aca="false">INDEX('Website Research'!$C$6:$C$30,MATCH(A15,'Website Research'!$B$6:$B$30,0))</f>
        <v>The Manifest</v>
      </c>
      <c r="C15" s="9" t="str">
        <f aca="false">IF(INDEX('Submission Tracker'!$J$6:$J$30,MATCH(A15,'Submission Tracker'!$A$6:$A$30,0))="","",INDEX('Submission Tracker'!$J$6:$J$30,MATCH(A15,'Submission Tracker'!$A$6:$A$30,0)))</f>
        <v/>
      </c>
      <c r="D15" s="10"/>
      <c r="E15" s="10"/>
      <c r="F15" s="10"/>
      <c r="G15" s="10"/>
      <c r="H15" s="10"/>
      <c r="I15" s="6" t="str">
        <f aca="false">IF(C15="","Not published",IF(OR(H15="",H15="cannot inspect",F15&lt;&gt;"Yes"),"Unverified",IF(H15="none","Confirmed do-follow","No-follow or qualified")))</f>
        <v>Not published</v>
      </c>
      <c r="J15" s="10"/>
      <c r="K15" s="10"/>
      <c r="L15" s="10"/>
    </row>
    <row r="16" customFormat="false" ht="15" hidden="false" customHeight="false" outlineLevel="0" collapsed="false">
      <c r="A16" s="6" t="s">
        <v>171</v>
      </c>
      <c r="B16" s="9" t="str">
        <f aca="false">INDEX('Website Research'!$C$6:$C$30,MATCH(A16,'Website Research'!$B$6:$B$30,0))</f>
        <v>Crunchbase</v>
      </c>
      <c r="C16" s="9" t="str">
        <f aca="false">IF(INDEX('Submission Tracker'!$J$6:$J$30,MATCH(A16,'Submission Tracker'!$A$6:$A$30,0))="","",INDEX('Submission Tracker'!$J$6:$J$30,MATCH(A16,'Submission Tracker'!$A$6:$A$30,0)))</f>
        <v/>
      </c>
      <c r="D16" s="10"/>
      <c r="E16" s="10"/>
      <c r="F16" s="10"/>
      <c r="G16" s="10"/>
      <c r="H16" s="10"/>
      <c r="I16" s="6" t="str">
        <f aca="false">IF(C16="","Not published",IF(OR(H16="",H16="cannot inspect",F16&lt;&gt;"Yes"),"Unverified",IF(H16="none","Confirmed do-follow","No-follow or qualified")))</f>
        <v>Not published</v>
      </c>
      <c r="J16" s="10"/>
      <c r="K16" s="10"/>
      <c r="L16" s="10"/>
    </row>
    <row r="17" customFormat="false" ht="15" hidden="false" customHeight="false" outlineLevel="0" collapsed="false">
      <c r="A17" s="6" t="s">
        <v>184</v>
      </c>
      <c r="B17" s="9" t="str">
        <f aca="false">INDEX('Website Research'!$C$6:$C$30,MATCH(A17,'Website Research'!$B$6:$B$30,0))</f>
        <v>Compare the Cloud (Directory)</v>
      </c>
      <c r="C17" s="9" t="str">
        <f aca="false">IF(INDEX('Submission Tracker'!$J$6:$J$30,MATCH(A17,'Submission Tracker'!$A$6:$A$30,0))="","",INDEX('Submission Tracker'!$J$6:$J$30,MATCH(A17,'Submission Tracker'!$A$6:$A$30,0)))</f>
        <v/>
      </c>
      <c r="D17" s="10"/>
      <c r="E17" s="10"/>
      <c r="F17" s="10"/>
      <c r="G17" s="10"/>
      <c r="H17" s="10"/>
      <c r="I17" s="6" t="str">
        <f aca="false">IF(C17="","Not published",IF(OR(H17="",H17="cannot inspect",F17&lt;&gt;"Yes"),"Unverified",IF(H17="none","Confirmed do-follow","No-follow or qualified")))</f>
        <v>Not published</v>
      </c>
      <c r="J17" s="10"/>
      <c r="K17" s="10"/>
      <c r="L17" s="10"/>
    </row>
    <row r="18" customFormat="false" ht="15" hidden="false" customHeight="false" outlineLevel="0" collapsed="false">
      <c r="A18" s="6" t="s">
        <v>197</v>
      </c>
      <c r="B18" s="9" t="str">
        <f aca="false">INDEX('Website Research'!$C$6:$C$30,MATCH(A18,'Website Research'!$B$6:$B$30,0))</f>
        <v>DEV Community (dev.to)</v>
      </c>
      <c r="C18" s="9" t="str">
        <f aca="false">IF(INDEX('Submission Tracker'!$J$6:$J$30,MATCH(A18,'Submission Tracker'!$A$6:$A$30,0))="","",INDEX('Submission Tracker'!$J$6:$J$30,MATCH(A18,'Submission Tracker'!$A$6:$A$30,0)))</f>
        <v/>
      </c>
      <c r="D18" s="10"/>
      <c r="E18" s="10"/>
      <c r="F18" s="10"/>
      <c r="G18" s="10"/>
      <c r="H18" s="10"/>
      <c r="I18" s="6" t="str">
        <f aca="false">IF(C18="","Not published",IF(OR(H18="",H18="cannot inspect",F18&lt;&gt;"Yes"),"Unverified",IF(H18="none","Confirmed do-follow","No-follow or qualified")))</f>
        <v>Not published</v>
      </c>
      <c r="J18" s="10"/>
      <c r="K18" s="10"/>
      <c r="L18" s="10"/>
    </row>
    <row r="19" customFormat="false" ht="15" hidden="false" customHeight="false" outlineLevel="0" collapsed="false">
      <c r="A19" s="6" t="s">
        <v>212</v>
      </c>
      <c r="B19" s="9" t="str">
        <f aca="false">INDEX('Website Research'!$C$6:$C$30,MATCH(A19,'Website Research'!$B$6:$B$30,0))</f>
        <v>Wellfound</v>
      </c>
      <c r="C19" s="9" t="str">
        <f aca="false">IF(INDEX('Submission Tracker'!$J$6:$J$30,MATCH(A19,'Submission Tracker'!$A$6:$A$30,0))="","",INDEX('Submission Tracker'!$J$6:$J$30,MATCH(A19,'Submission Tracker'!$A$6:$A$30,0)))</f>
        <v/>
      </c>
      <c r="D19" s="10"/>
      <c r="E19" s="10"/>
      <c r="F19" s="10"/>
      <c r="G19" s="10"/>
      <c r="H19" s="10"/>
      <c r="I19" s="6" t="str">
        <f aca="false">IF(C19="","Not published",IF(OR(H19="",H19="cannot inspect",F19&lt;&gt;"Yes"),"Unverified",IF(H19="none","Confirmed do-follow","No-follow or qualified")))</f>
        <v>Not published</v>
      </c>
      <c r="J19" s="10"/>
      <c r="K19" s="10"/>
      <c r="L19" s="10"/>
    </row>
    <row r="20" customFormat="false" ht="15" hidden="false" customHeight="false" outlineLevel="0" collapsed="false">
      <c r="A20" s="6" t="s">
        <v>224</v>
      </c>
      <c r="B20" s="9" t="str">
        <f aca="false">INDEX('Website Research'!$C$6:$C$30,MATCH(A20,'Website Research'!$B$6:$B$30,0))</f>
        <v>Medium</v>
      </c>
      <c r="C20" s="9" t="str">
        <f aca="false">IF(INDEX('Submission Tracker'!$J$6:$J$30,MATCH(A20,'Submission Tracker'!$A$6:$A$30,0))="","",INDEX('Submission Tracker'!$J$6:$J$30,MATCH(A20,'Submission Tracker'!$A$6:$A$30,0)))</f>
        <v/>
      </c>
      <c r="D20" s="10"/>
      <c r="E20" s="10"/>
      <c r="F20" s="10"/>
      <c r="G20" s="10"/>
      <c r="H20" s="10"/>
      <c r="I20" s="6" t="str">
        <f aca="false">IF(C20="","Not published",IF(OR(H20="",H20="cannot inspect",F20&lt;&gt;"Yes"),"Unverified",IF(H20="none","Confirmed do-follow","No-follow or qualified")))</f>
        <v>Not published</v>
      </c>
      <c r="J20" s="10"/>
      <c r="K20" s="10"/>
      <c r="L20" s="10"/>
    </row>
    <row r="21" customFormat="false" ht="15" hidden="false" customHeight="false" outlineLevel="0" collapsed="false">
      <c r="A21" s="6" t="s">
        <v>236</v>
      </c>
      <c r="B21" s="9" t="str">
        <f aca="false">INDEX('Website Research'!$C$6:$C$30,MATCH(A21,'Website Research'!$B$6:$B$30,0))</f>
        <v>Bing Places for Business</v>
      </c>
      <c r="C21" s="9" t="str">
        <f aca="false">IF(INDEX('Submission Tracker'!$J$6:$J$30,MATCH(A21,'Submission Tracker'!$A$6:$A$30,0))="","",INDEX('Submission Tracker'!$J$6:$J$30,MATCH(A21,'Submission Tracker'!$A$6:$A$30,0)))</f>
        <v/>
      </c>
      <c r="D21" s="10"/>
      <c r="E21" s="10"/>
      <c r="F21" s="10"/>
      <c r="G21" s="10"/>
      <c r="H21" s="10"/>
      <c r="I21" s="6" t="str">
        <f aca="false">IF(C21="","Not published",IF(OR(H21="",H21="cannot inspect",F21&lt;&gt;"Yes"),"Unverified",IF(H21="none","Confirmed do-follow","No-follow or qualified")))</f>
        <v>Not published</v>
      </c>
      <c r="J21" s="10"/>
      <c r="K21" s="10"/>
      <c r="L21" s="10"/>
    </row>
    <row r="22" customFormat="false" ht="15" hidden="false" customHeight="false" outlineLevel="0" collapsed="false">
      <c r="A22" s="6" t="s">
        <v>247</v>
      </c>
      <c r="B22" s="9" t="str">
        <f aca="false">INDEX('Website Research'!$C$6:$C$30,MATCH(A22,'Website Research'!$B$6:$B$30,0))</f>
        <v>Product Hunt</v>
      </c>
      <c r="C22" s="9" t="str">
        <f aca="false">IF(INDEX('Submission Tracker'!$J$6:$J$30,MATCH(A22,'Submission Tracker'!$A$6:$A$30,0))="","",INDEX('Submission Tracker'!$J$6:$J$30,MATCH(A22,'Submission Tracker'!$A$6:$A$30,0)))</f>
        <v/>
      </c>
      <c r="D22" s="10"/>
      <c r="E22" s="10"/>
      <c r="F22" s="10"/>
      <c r="G22" s="10"/>
      <c r="H22" s="10"/>
      <c r="I22" s="6" t="str">
        <f aca="false">IF(C22="","Not published",IF(OR(H22="",H22="cannot inspect",F22&lt;&gt;"Yes"),"Unverified",IF(H22="none","Confirmed do-follow","No-follow or qualified")))</f>
        <v>Not published</v>
      </c>
      <c r="J22" s="10"/>
      <c r="K22" s="10"/>
      <c r="L22" s="10"/>
    </row>
    <row r="23" customFormat="false" ht="15" hidden="false" customHeight="false" outlineLevel="0" collapsed="false">
      <c r="A23" s="6" t="s">
        <v>259</v>
      </c>
      <c r="B23" s="9" t="str">
        <f aca="false">INDEX('Website Research'!$C$6:$C$30,MATCH(A23,'Website Research'!$B$6:$B$30,0))</f>
        <v>Sortlist</v>
      </c>
      <c r="C23" s="9" t="str">
        <f aca="false">IF(INDEX('Submission Tracker'!$J$6:$J$30,MATCH(A23,'Submission Tracker'!$A$6:$A$30,0))="","",INDEX('Submission Tracker'!$J$6:$J$30,MATCH(A23,'Submission Tracker'!$A$6:$A$30,0)))</f>
        <v/>
      </c>
      <c r="D23" s="10"/>
      <c r="E23" s="10"/>
      <c r="F23" s="10"/>
      <c r="G23" s="10"/>
      <c r="H23" s="10"/>
      <c r="I23" s="6" t="str">
        <f aca="false">IF(C23="","Not published",IF(OR(H23="",H23="cannot inspect",F23&lt;&gt;"Yes"),"Unverified",IF(H23="none","Confirmed do-follow","No-follow or qualified")))</f>
        <v>Not published</v>
      </c>
      <c r="J23" s="10"/>
      <c r="K23" s="10"/>
      <c r="L23" s="10"/>
    </row>
    <row r="24" customFormat="false" ht="15" hidden="false" customHeight="false" outlineLevel="0" collapsed="false">
      <c r="A24" s="6" t="s">
        <v>270</v>
      </c>
      <c r="B24" s="9" t="str">
        <f aca="false">INDEX('Website Research'!$C$6:$C$30,MATCH(A24,'Website Research'!$B$6:$B$30,0))</f>
        <v>SaaSHub</v>
      </c>
      <c r="C24" s="9" t="str">
        <f aca="false">IF(INDEX('Submission Tracker'!$J$6:$J$30,MATCH(A24,'Submission Tracker'!$A$6:$A$30,0))="","",INDEX('Submission Tracker'!$J$6:$J$30,MATCH(A24,'Submission Tracker'!$A$6:$A$30,0)))</f>
        <v/>
      </c>
      <c r="D24" s="10"/>
      <c r="E24" s="10"/>
      <c r="F24" s="10"/>
      <c r="G24" s="10"/>
      <c r="H24" s="10"/>
      <c r="I24" s="6" t="str">
        <f aca="false">IF(C24="","Not published",IF(OR(H24="",H24="cannot inspect",F24&lt;&gt;"Yes"),"Unverified",IF(H24="none","Confirmed do-follow","No-follow or qualified")))</f>
        <v>Not published</v>
      </c>
      <c r="J24" s="10"/>
      <c r="K24" s="10"/>
      <c r="L24" s="10"/>
    </row>
    <row r="25" customFormat="false" ht="15" hidden="false" customHeight="false" outlineLevel="0" collapsed="false">
      <c r="A25" s="6" t="s">
        <v>284</v>
      </c>
      <c r="B25" s="9" t="str">
        <f aca="false">INDEX('Website Research'!$C$6:$C$30,MATCH(A25,'Website Research'!$B$6:$B$30,0))</f>
        <v>AlternativeTo</v>
      </c>
      <c r="C25" s="9" t="str">
        <f aca="false">IF(INDEX('Submission Tracker'!$J$6:$J$30,MATCH(A25,'Submission Tracker'!$A$6:$A$30,0))="","",INDEX('Submission Tracker'!$J$6:$J$30,MATCH(A25,'Submission Tracker'!$A$6:$A$30,0)))</f>
        <v/>
      </c>
      <c r="D25" s="10"/>
      <c r="E25" s="10"/>
      <c r="F25" s="10"/>
      <c r="G25" s="10"/>
      <c r="H25" s="10"/>
      <c r="I25" s="6" t="str">
        <f aca="false">IF(C25="","Not published",IF(OR(H25="",H25="cannot inspect",F25&lt;&gt;"Yes"),"Unverified",IF(H25="none","Confirmed do-follow","No-follow or qualified")))</f>
        <v>Not published</v>
      </c>
      <c r="J25" s="10"/>
      <c r="K25" s="10"/>
      <c r="L25" s="10"/>
    </row>
    <row r="26" customFormat="false" ht="15" hidden="false" customHeight="false" outlineLevel="0" collapsed="false">
      <c r="A26" s="6" t="s">
        <v>294</v>
      </c>
      <c r="B26" s="9" t="str">
        <f aca="false">INDEX('Website Research'!$C$6:$C$30,MATCH(A26,'Website Research'!$B$6:$B$30,0))</f>
        <v>Google Business Profile</v>
      </c>
      <c r="C26" s="9" t="str">
        <f aca="false">IF(INDEX('Submission Tracker'!$J$6:$J$30,MATCH(A26,'Submission Tracker'!$A$6:$A$30,0))="","",INDEX('Submission Tracker'!$J$6:$J$30,MATCH(A26,'Submission Tracker'!$A$6:$A$30,0)))</f>
        <v/>
      </c>
      <c r="D26" s="10"/>
      <c r="E26" s="10"/>
      <c r="F26" s="10"/>
      <c r="G26" s="10"/>
      <c r="H26" s="10"/>
      <c r="I26" s="6" t="str">
        <f aca="false">IF(C26="","Not published",IF(OR(H26="",H26="cannot inspect",F26&lt;&gt;"Yes"),"Unverified",IF(H26="none","Confirmed do-follow","No-follow or qualified")))</f>
        <v>Not published</v>
      </c>
      <c r="J26" s="10"/>
      <c r="K26" s="10"/>
      <c r="L26" s="10"/>
    </row>
    <row r="27" customFormat="false" ht="15" hidden="false" customHeight="false" outlineLevel="0" collapsed="false">
      <c r="A27" s="6" t="s">
        <v>304</v>
      </c>
      <c r="B27" s="9" t="str">
        <f aca="false">INDEX('Website Research'!$C$6:$C$30,MATCH(A27,'Website Research'!$B$6:$B$30,0))</f>
        <v>SourceForge (business listing)</v>
      </c>
      <c r="C27" s="9" t="str">
        <f aca="false">IF(INDEX('Submission Tracker'!$J$6:$J$30,MATCH(A27,'Submission Tracker'!$A$6:$A$30,0))="","",INDEX('Submission Tracker'!$J$6:$J$30,MATCH(A27,'Submission Tracker'!$A$6:$A$30,0)))</f>
        <v/>
      </c>
      <c r="D27" s="10"/>
      <c r="E27" s="10"/>
      <c r="F27" s="10"/>
      <c r="G27" s="10"/>
      <c r="H27" s="10"/>
      <c r="I27" s="6" t="str">
        <f aca="false">IF(C27="","Not published",IF(OR(H27="",H27="cannot inspect",F27&lt;&gt;"Yes"),"Unverified",IF(H27="none","Confirmed do-follow","No-follow or qualified")))</f>
        <v>Not published</v>
      </c>
      <c r="J27" s="10"/>
      <c r="K27" s="10"/>
      <c r="L27" s="10"/>
    </row>
    <row r="28" customFormat="false" ht="15" hidden="false" customHeight="false" outlineLevel="0" collapsed="false">
      <c r="A28" s="6" t="s">
        <v>314</v>
      </c>
      <c r="B28" s="9" t="str">
        <f aca="false">INDEX('Website Research'!$C$6:$C$30,MATCH(A28,'Website Research'!$B$6:$B$30,0))</f>
        <v>F6S</v>
      </c>
      <c r="C28" s="9" t="str">
        <f aca="false">IF(INDEX('Submission Tracker'!$J$6:$J$30,MATCH(A28,'Submission Tracker'!$A$6:$A$30,0))="","",INDEX('Submission Tracker'!$J$6:$J$30,MATCH(A28,'Submission Tracker'!$A$6:$A$30,0)))</f>
        <v/>
      </c>
      <c r="D28" s="10"/>
      <c r="E28" s="10"/>
      <c r="F28" s="10"/>
      <c r="G28" s="10"/>
      <c r="H28" s="10"/>
      <c r="I28" s="6" t="str">
        <f aca="false">IF(C28="","Not published",IF(OR(H28="",H28="cannot inspect",F28&lt;&gt;"Yes"),"Unverified",IF(H28="none","Confirmed do-follow","No-follow or qualified")))</f>
        <v>Not published</v>
      </c>
      <c r="J28" s="10"/>
      <c r="K28" s="10"/>
      <c r="L28" s="10"/>
    </row>
    <row r="29" customFormat="false" ht="15" hidden="false" customHeight="false" outlineLevel="0" collapsed="false">
      <c r="A29" s="6" t="s">
        <v>324</v>
      </c>
      <c r="B29" s="9" t="str">
        <f aca="false">INDEX('Website Research'!$C$6:$C$30,MATCH(A29,'Website Research'!$B$6:$B$30,0))</f>
        <v>TopDevelopers.co</v>
      </c>
      <c r="C29" s="9" t="str">
        <f aca="false">IF(INDEX('Submission Tracker'!$J$6:$J$30,MATCH(A29,'Submission Tracker'!$A$6:$A$30,0))="","",INDEX('Submission Tracker'!$J$6:$J$30,MATCH(A29,'Submission Tracker'!$A$6:$A$30,0)))</f>
        <v/>
      </c>
      <c r="D29" s="10"/>
      <c r="E29" s="10"/>
      <c r="F29" s="10"/>
      <c r="G29" s="10"/>
      <c r="H29" s="10"/>
      <c r="I29" s="6" t="str">
        <f aca="false">IF(C29="","Not published",IF(OR(H29="",H29="cannot inspect",F29&lt;&gt;"Yes"),"Unverified",IF(H29="none","Confirmed do-follow","No-follow or qualified")))</f>
        <v>Not published</v>
      </c>
      <c r="J29" s="10"/>
      <c r="K29" s="10"/>
      <c r="L29" s="10"/>
    </row>
    <row r="30" customFormat="false" ht="15" hidden="false" customHeight="false" outlineLevel="0" collapsed="false">
      <c r="A30" s="6" t="s">
        <v>334</v>
      </c>
      <c r="B30" s="9" t="str">
        <f aca="false">INDEX('Website Research'!$C$6:$C$30,MATCH(A30,'Website Research'!$B$6:$B$30,0))</f>
        <v>Indie Hackers</v>
      </c>
      <c r="C30" s="9" t="str">
        <f aca="false">IF(INDEX('Submission Tracker'!$J$6:$J$30,MATCH(A30,'Submission Tracker'!$A$6:$A$30,0))="","",INDEX('Submission Tracker'!$J$6:$J$30,MATCH(A30,'Submission Tracker'!$A$6:$A$30,0)))</f>
        <v/>
      </c>
      <c r="D30" s="10"/>
      <c r="E30" s="10"/>
      <c r="F30" s="10"/>
      <c r="G30" s="10"/>
      <c r="H30" s="10"/>
      <c r="I30" s="6" t="str">
        <f aca="false">IF(C30="","Not published",IF(OR(H30="",H30="cannot inspect",F30&lt;&gt;"Yes"),"Unverified",IF(H30="none","Confirmed do-follow","No-follow or qualified")))</f>
        <v>Not published</v>
      </c>
      <c r="J30" s="10"/>
      <c r="K30" s="10"/>
      <c r="L30" s="10"/>
    </row>
  </sheetData>
  <autoFilter ref="A5:L30"/>
  <dataValidations count="2">
    <dataValidation allowBlank="true" errorStyle="stop" operator="between" showDropDown="false" showErrorMessage="false" showInputMessage="false" sqref="H6:H30" type="list">
      <formula1>"none,nofollow,sponsored,ugc,nofollow ugc,nofollow sponsored,cannot inspect"</formula1>
      <formula2>0</formula2>
    </dataValidation>
    <dataValidation allowBlank="true" errorStyle="stop" operator="between" showDropDown="false" showErrorMessage="false" showInputMessage="false" sqref="F6:F3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381</v>
      </c>
    </row>
    <row r="3" customFormat="false" ht="42" hidden="false" customHeight="true" outlineLevel="0" collapsed="false">
      <c r="A3" s="5" t="s">
        <v>382</v>
      </c>
      <c r="B3" s="5" t="s">
        <v>383</v>
      </c>
      <c r="C3" s="5" t="s">
        <v>384</v>
      </c>
    </row>
    <row r="4" customFormat="false" ht="15" hidden="false" customHeight="false" outlineLevel="0" collapsed="false">
      <c r="A4" s="11" t="s">
        <v>385</v>
      </c>
      <c r="B4" s="6" t="n">
        <f aca="false">COUNTA('Website Research'!$B$6:$B$30)</f>
        <v>25</v>
      </c>
      <c r="C4" s="6" t="s">
        <v>386</v>
      </c>
    </row>
    <row r="5" customFormat="false" ht="15" hidden="false" customHeight="false" outlineLevel="0" collapsed="false">
      <c r="A5" s="6" t="s">
        <v>387</v>
      </c>
      <c r="B5" s="7" t="n">
        <v>100</v>
      </c>
      <c r="C5" s="6" t="s">
        <v>388</v>
      </c>
    </row>
    <row r="6" customFormat="false" ht="15" hidden="false" customHeight="false" outlineLevel="0" collapsed="false">
      <c r="A6" s="6" t="s">
        <v>389</v>
      </c>
      <c r="B6" s="6" t="n">
        <f aca="false">B5-B4</f>
        <v>75</v>
      </c>
      <c r="C6" s="6" t="s">
        <v>390</v>
      </c>
    </row>
    <row r="7" customFormat="false" ht="23.85" hidden="false" customHeight="false" outlineLevel="0" collapsed="false">
      <c r="A7" s="6" t="s">
        <v>391</v>
      </c>
      <c r="B7" s="6" t="n">
        <f aca="false">COUNTIF('Website Research'!$H$6:$H$30,"Yes*")</f>
        <v>11</v>
      </c>
      <c r="C7" s="6" t="s">
        <v>392</v>
      </c>
    </row>
    <row r="8" customFormat="false" ht="15" hidden="false" customHeight="false" outlineLevel="0" collapsed="false">
      <c r="A8" s="6" t="s">
        <v>393</v>
      </c>
      <c r="B8" s="6" t="n">
        <f aca="false">COUNTIF('Website Research'!$H$6:$H$30,"Partial*")</f>
        <v>2</v>
      </c>
      <c r="C8" s="6" t="s">
        <v>394</v>
      </c>
    </row>
    <row r="9" customFormat="false" ht="15" hidden="false" customHeight="false" outlineLevel="0" collapsed="false">
      <c r="A9" s="6" t="s">
        <v>395</v>
      </c>
      <c r="B9" s="6" t="n">
        <f aca="false">COUNTIF('Website Research'!$H$6:$H$30,"Reported*")</f>
        <v>7</v>
      </c>
      <c r="C9" s="6" t="s">
        <v>396</v>
      </c>
    </row>
    <row r="10" customFormat="false" ht="15" hidden="false" customHeight="false" outlineLevel="0" collapsed="false">
      <c r="A10" s="6" t="s">
        <v>397</v>
      </c>
      <c r="B10" s="6" t="n">
        <f aca="false">COUNTIF('Website Research'!$H$6:$H$30,"Unverified*")</f>
        <v>5</v>
      </c>
      <c r="C10" s="6" t="s">
        <v>398</v>
      </c>
    </row>
    <row r="11" customFormat="false" ht="15" hidden="false" customHeight="false" outlineLevel="0" collapsed="false">
      <c r="A11" s="6" t="s">
        <v>399</v>
      </c>
      <c r="B11" s="6" t="n">
        <f aca="false">COUNTIF('Website Research'!$Y$6:$Y$30,"*.md")</f>
        <v>11</v>
      </c>
      <c r="C11" s="6" t="s">
        <v>400</v>
      </c>
    </row>
    <row r="12" customFormat="false" ht="15" hidden="false" customHeight="false" outlineLevel="0" collapsed="false">
      <c r="A12" s="6" t="s">
        <v>401</v>
      </c>
      <c r="B12" s="6" t="n">
        <f aca="false">COUNTIF('Submission Tracker'!$F$6:$F$30,"Not Started")</f>
        <v>25</v>
      </c>
      <c r="C12" s="6" t="s">
        <v>402</v>
      </c>
    </row>
    <row r="13" customFormat="false" ht="15" hidden="false" customHeight="false" outlineLevel="0" collapsed="false">
      <c r="A13" s="6" t="s">
        <v>403</v>
      </c>
      <c r="B13" s="6" t="n">
        <f aca="false">COUNTIF('Submission Tracker'!$F$6:$F$30,"In Progress")</f>
        <v>0</v>
      </c>
      <c r="C13" s="6" t="s">
        <v>402</v>
      </c>
    </row>
    <row r="14" customFormat="false" ht="15" hidden="false" customHeight="false" outlineLevel="0" collapsed="false">
      <c r="A14" s="6" t="s">
        <v>404</v>
      </c>
      <c r="B14" s="6" t="n">
        <f aca="false">COUNTIF('Submission Tracker'!$F$6:$F$30,"Submitted")+COUNTIF('Submission Tracker'!$F$6:$F$30,"Pending Review")+COUNTIF('Submission Tracker'!$F$6:$F$30,"Approved/Live")+COUNTIF('Submission Tracker'!$F$6:$F$30,"Rejected")</f>
        <v>0</v>
      </c>
      <c r="C14" s="6" t="s">
        <v>405</v>
      </c>
    </row>
    <row r="15" customFormat="false" ht="15" hidden="false" customHeight="false" outlineLevel="0" collapsed="false">
      <c r="A15" s="6" t="s">
        <v>406</v>
      </c>
      <c r="B15" s="6" t="n">
        <f aca="false">COUNTIF('Submission Tracker'!$F$6:$F$30,"Pending Review")</f>
        <v>0</v>
      </c>
      <c r="C15" s="6" t="s">
        <v>402</v>
      </c>
    </row>
    <row r="16" customFormat="false" ht="15" hidden="false" customHeight="false" outlineLevel="0" collapsed="false">
      <c r="A16" s="6" t="s">
        <v>407</v>
      </c>
      <c r="B16" s="6" t="n">
        <f aca="false">COUNTIF('Submission Tracker'!$F$6:$F$30,"Approved/Live")</f>
        <v>0</v>
      </c>
      <c r="C16" s="6" t="s">
        <v>402</v>
      </c>
    </row>
    <row r="17" customFormat="false" ht="15" hidden="false" customHeight="false" outlineLevel="0" collapsed="false">
      <c r="A17" s="6" t="s">
        <v>408</v>
      </c>
      <c r="B17" s="6" t="n">
        <f aca="false">COUNTIF('Submission Tracker'!$J$6:$J$30,"?*")</f>
        <v>0</v>
      </c>
      <c r="C17" s="6" t="s">
        <v>409</v>
      </c>
    </row>
    <row r="18" customFormat="false" ht="15" hidden="false" customHeight="false" outlineLevel="0" collapsed="false">
      <c r="A18" s="6" t="s">
        <v>410</v>
      </c>
      <c r="B18" s="6" t="n">
        <f aca="false">COUNTIF('Link Verification'!$I$6:$I$30,"Confirmed do-follow")</f>
        <v>0</v>
      </c>
      <c r="C18" s="6" t="s">
        <v>411</v>
      </c>
    </row>
    <row r="19" customFormat="false" ht="15" hidden="false" customHeight="false" outlineLevel="0" collapsed="false">
      <c r="A19" s="6" t="s">
        <v>412</v>
      </c>
      <c r="B19" s="6" t="n">
        <f aca="false">COUNTIF('Link Verification'!$I$6:$I$30,"No-follow or qualified")</f>
        <v>0</v>
      </c>
      <c r="C19" s="6" t="s">
        <v>411</v>
      </c>
    </row>
    <row r="20" customFormat="false" ht="15" hidden="false" customHeight="false" outlineLevel="0" collapsed="false">
      <c r="A20" s="6" t="s">
        <v>413</v>
      </c>
      <c r="B20" s="6" t="n">
        <f aca="false">COUNTIF('Link Verification'!$I$6:$I$30,"Unverified")</f>
        <v>0</v>
      </c>
      <c r="C20" s="6" t="s">
        <v>411</v>
      </c>
    </row>
    <row r="21" customFormat="false" ht="15" hidden="false" customHeight="false" outlineLevel="0" collapsed="false">
      <c r="A21" s="6" t="s">
        <v>414</v>
      </c>
      <c r="B21" s="6" t="n">
        <f aca="false">COUNTIF('Link Verification'!$I$6:$I$30,"Not published")</f>
        <v>25</v>
      </c>
      <c r="C21" s="6" t="s">
        <v>411</v>
      </c>
    </row>
    <row r="22" customFormat="false" ht="15" hidden="false" customHeight="false" outlineLevel="0" collapsed="false">
      <c r="A22" s="6" t="s">
        <v>415</v>
      </c>
      <c r="B22" s="6" t="n">
        <f aca="false">COUNTIF('Submission Tracker'!$F$6:$F$30,"Rejected")+COUNTIF('Submission Tracker'!$F$6:$F$30,"Unavailable")</f>
        <v>0</v>
      </c>
      <c r="C22" s="6" t="s">
        <v>416</v>
      </c>
    </row>
    <row r="23" customFormat="false" ht="15" hidden="false" customHeight="false" outlineLevel="0" collapsed="false">
      <c r="A23" s="6" t="s">
        <v>417</v>
      </c>
      <c r="B23" s="6" t="str">
        <f aca="false">IF(COUNTA('Submission Tracker'!$A$6:$A$30)=B4,"OK","MISMATCH")</f>
        <v>OK</v>
      </c>
      <c r="C23" s="6" t="s">
        <v>418</v>
      </c>
    </row>
    <row r="25" customFormat="false" ht="15" hidden="false" customHeight="false" outlineLevel="0" collapsed="false">
      <c r="A25" s="3" t="s">
        <v>419</v>
      </c>
    </row>
    <row r="26" customFormat="false" ht="30" hidden="false" customHeight="true" outlineLevel="0" collapsed="false">
      <c r="A26" s="12" t="s">
        <v>420</v>
      </c>
      <c r="B26" s="12"/>
      <c r="C26" s="12"/>
    </row>
    <row r="27" customFormat="false" ht="30" hidden="false" customHeight="true" outlineLevel="0" collapsed="false">
      <c r="A27" s="12" t="s">
        <v>421</v>
      </c>
      <c r="B27" s="12"/>
      <c r="C27" s="12"/>
    </row>
    <row r="28" customFormat="false" ht="30" hidden="false" customHeight="true" outlineLevel="0" collapsed="false">
      <c r="A28" s="12" t="s">
        <v>422</v>
      </c>
      <c r="B28" s="12"/>
      <c r="C28" s="12"/>
    </row>
    <row r="29" customFormat="false" ht="30" hidden="false" customHeight="true" outlineLevel="0" collapsed="false">
      <c r="A29" s="12" t="s">
        <v>423</v>
      </c>
      <c r="B29" s="12"/>
      <c r="C29" s="12"/>
    </row>
    <row r="30" customFormat="false" ht="30" hidden="false" customHeight="true" outlineLevel="0" collapsed="false">
      <c r="A30" s="12" t="s">
        <v>424</v>
      </c>
      <c r="B30" s="12"/>
      <c r="C30" s="12"/>
    </row>
  </sheetData>
  <mergeCells count="5">
    <mergeCell ref="A26:C26"/>
    <mergeCell ref="A27:C27"/>
    <mergeCell ref="A28:C28"/>
    <mergeCell ref="A29:C29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2026-10-26T05:56:52Z</dcterms:created>
  <dc:creator>openpyxl</dc:creator>
  <dc:description/>
  <dc:language>en-US</dc:language>
  <cp:lastModifiedBy/>
  <dcterms:modified xsi:type="dcterms:W3CDTF">2026-10-26T05:56:53Z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